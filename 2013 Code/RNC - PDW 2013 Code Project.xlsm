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eremiah Tester\Test RNC\Testing\"/>
    </mc:Choice>
  </mc:AlternateContent>
  <bookViews>
    <workbookView xWindow="3360" yWindow="1560" windowWidth="9135" windowHeight="4050"/>
  </bookViews>
  <sheets>
    <sheet name="Project Name" sheetId="1" r:id="rId1"/>
    <sheet name="Summary" sheetId="7" r:id="rId2"/>
    <sheet name="Contacts" sheetId="2" r:id="rId3"/>
    <sheet name="Solar" sheetId="4" r:id="rId4"/>
    <sheet name="Legend" sheetId="6" r:id="rId5"/>
    <sheet name="Rater Equipment List" sheetId="9" state="hidden" r:id="rId6"/>
  </sheets>
  <externalReferences>
    <externalReference r:id="rId7"/>
  </externalReferences>
  <definedNames>
    <definedName name="_xlnm._FilterDatabase" localSheetId="0" hidden="1">'Project Name'!$B$6:$CB$6</definedName>
    <definedName name="_xlnm._FilterDatabase" localSheetId="3" hidden="1">Solar!$A$4:$AE$26</definedName>
    <definedName name="Completions">'Project Name'!$BS$3:$BW$3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Stats">'Project Name'!$BR$3:$BW$5</definedName>
  </definedNames>
  <calcPr calcId="152511"/>
</workbook>
</file>

<file path=xl/calcChain.xml><?xml version="1.0" encoding="utf-8"?>
<calcChain xmlns="http://schemas.openxmlformats.org/spreadsheetml/2006/main">
  <c r="BR41" i="1" l="1"/>
  <c r="BX41" i="1" s="1"/>
  <c r="BY41" i="1" s="1"/>
  <c r="BS41" i="1"/>
  <c r="BT41" i="1"/>
  <c r="BU41" i="1"/>
  <c r="BV41" i="1"/>
  <c r="BZ41" i="1"/>
  <c r="CA41" i="1"/>
  <c r="BR42" i="1"/>
  <c r="CB42" i="1" s="1"/>
  <c r="BS42" i="1"/>
  <c r="BT42" i="1"/>
  <c r="BU42" i="1"/>
  <c r="BV42" i="1"/>
  <c r="BZ42" i="1"/>
  <c r="CA42" i="1"/>
  <c r="BR43" i="1"/>
  <c r="CB43" i="1" s="1"/>
  <c r="BS43" i="1"/>
  <c r="BT43" i="1"/>
  <c r="BU43" i="1"/>
  <c r="BV43" i="1"/>
  <c r="BZ43" i="1"/>
  <c r="CA43" i="1"/>
  <c r="BR44" i="1"/>
  <c r="BX44" i="1" s="1"/>
  <c r="BY44" i="1" s="1"/>
  <c r="BS44" i="1"/>
  <c r="BT44" i="1"/>
  <c r="BU44" i="1"/>
  <c r="BV44" i="1"/>
  <c r="BZ44" i="1"/>
  <c r="CA44" i="1"/>
  <c r="BR45" i="1"/>
  <c r="CB45" i="1" s="1"/>
  <c r="BS45" i="1"/>
  <c r="BT45" i="1"/>
  <c r="BU45" i="1"/>
  <c r="BV45" i="1"/>
  <c r="BZ45" i="1"/>
  <c r="CA45" i="1"/>
  <c r="BR46" i="1"/>
  <c r="BX46" i="1" s="1"/>
  <c r="BY46" i="1" s="1"/>
  <c r="BS46" i="1"/>
  <c r="BT46" i="1"/>
  <c r="BU46" i="1"/>
  <c r="BV46" i="1"/>
  <c r="BZ46" i="1"/>
  <c r="CA46" i="1"/>
  <c r="BR47" i="1"/>
  <c r="BW47" i="1" s="1"/>
  <c r="BS47" i="1"/>
  <c r="BT47" i="1"/>
  <c r="BU47" i="1"/>
  <c r="BV47" i="1"/>
  <c r="BZ47" i="1"/>
  <c r="CA47" i="1"/>
  <c r="BR48" i="1"/>
  <c r="CB48" i="1" s="1"/>
  <c r="BS48" i="1"/>
  <c r="BT48" i="1"/>
  <c r="BU48" i="1"/>
  <c r="BV48" i="1"/>
  <c r="BZ48" i="1"/>
  <c r="CA48" i="1"/>
  <c r="BR49" i="1"/>
  <c r="BX49" i="1" s="1"/>
  <c r="BY49" i="1" s="1"/>
  <c r="BS49" i="1"/>
  <c r="BT49" i="1"/>
  <c r="BU49" i="1"/>
  <c r="BV49" i="1"/>
  <c r="BZ49" i="1"/>
  <c r="CA49" i="1"/>
  <c r="BR50" i="1"/>
  <c r="CB50" i="1" s="1"/>
  <c r="BS50" i="1"/>
  <c r="BT50" i="1"/>
  <c r="BU50" i="1"/>
  <c r="BV50" i="1"/>
  <c r="BW50" i="1"/>
  <c r="BZ50" i="1"/>
  <c r="CA50" i="1"/>
  <c r="BR51" i="1"/>
  <c r="CB51" i="1" s="1"/>
  <c r="BS51" i="1"/>
  <c r="BT51" i="1"/>
  <c r="BU51" i="1"/>
  <c r="BV51" i="1"/>
  <c r="BW51" i="1"/>
  <c r="BZ51" i="1"/>
  <c r="CA51" i="1"/>
  <c r="BR52" i="1"/>
  <c r="BX52" i="1" s="1"/>
  <c r="BY52" i="1" s="1"/>
  <c r="BS52" i="1"/>
  <c r="BT52" i="1"/>
  <c r="BU52" i="1"/>
  <c r="BV52" i="1"/>
  <c r="BZ52" i="1"/>
  <c r="CA52" i="1"/>
  <c r="BR53" i="1"/>
  <c r="CB53" i="1" s="1"/>
  <c r="BS53" i="1"/>
  <c r="BT53" i="1"/>
  <c r="BU53" i="1"/>
  <c r="BV53" i="1"/>
  <c r="BW53" i="1"/>
  <c r="BZ53" i="1"/>
  <c r="CA53" i="1"/>
  <c r="BR54" i="1"/>
  <c r="CB54" i="1" s="1"/>
  <c r="BS54" i="1"/>
  <c r="BT54" i="1"/>
  <c r="BU54" i="1"/>
  <c r="BV54" i="1"/>
  <c r="BW54" i="1"/>
  <c r="BX54" i="1"/>
  <c r="BY54" i="1" s="1"/>
  <c r="BZ54" i="1"/>
  <c r="CA54" i="1"/>
  <c r="BR55" i="1"/>
  <c r="BW55" i="1" s="1"/>
  <c r="BS55" i="1"/>
  <c r="BT55" i="1"/>
  <c r="BU55" i="1"/>
  <c r="BV55" i="1"/>
  <c r="BZ55" i="1"/>
  <c r="CA55" i="1"/>
  <c r="BR56" i="1"/>
  <c r="CB56" i="1" s="1"/>
  <c r="BS56" i="1"/>
  <c r="BT56" i="1"/>
  <c r="BU56" i="1"/>
  <c r="BV56" i="1"/>
  <c r="BZ56" i="1"/>
  <c r="CA56" i="1"/>
  <c r="BR57" i="1"/>
  <c r="BX57" i="1" s="1"/>
  <c r="BY57" i="1" s="1"/>
  <c r="BS57" i="1"/>
  <c r="BT57" i="1"/>
  <c r="BU57" i="1"/>
  <c r="BV57" i="1"/>
  <c r="BZ57" i="1"/>
  <c r="CA57" i="1"/>
  <c r="BR58" i="1"/>
  <c r="CB58" i="1" s="1"/>
  <c r="BS58" i="1"/>
  <c r="BT58" i="1"/>
  <c r="BU58" i="1"/>
  <c r="BV58" i="1"/>
  <c r="BZ58" i="1"/>
  <c r="CA58" i="1"/>
  <c r="BR59" i="1"/>
  <c r="BX59" i="1" s="1"/>
  <c r="BY59" i="1" s="1"/>
  <c r="BS59" i="1"/>
  <c r="BT59" i="1"/>
  <c r="BU59" i="1"/>
  <c r="BV59" i="1"/>
  <c r="BZ59" i="1"/>
  <c r="CA59" i="1"/>
  <c r="BR60" i="1"/>
  <c r="BX60" i="1" s="1"/>
  <c r="BY60" i="1" s="1"/>
  <c r="BS60" i="1"/>
  <c r="BT60" i="1"/>
  <c r="BU60" i="1"/>
  <c r="BV60" i="1"/>
  <c r="BZ60" i="1"/>
  <c r="CA60" i="1"/>
  <c r="BR61" i="1"/>
  <c r="CB61" i="1" s="1"/>
  <c r="BS61" i="1"/>
  <c r="BT61" i="1"/>
  <c r="BU61" i="1"/>
  <c r="BV61" i="1"/>
  <c r="BZ61" i="1"/>
  <c r="CA61" i="1"/>
  <c r="BR62" i="1"/>
  <c r="CB62" i="1" s="1"/>
  <c r="BS62" i="1"/>
  <c r="BT62" i="1"/>
  <c r="BU62" i="1"/>
  <c r="BV62" i="1"/>
  <c r="BZ62" i="1"/>
  <c r="CA62" i="1"/>
  <c r="BR63" i="1"/>
  <c r="BW63" i="1" s="1"/>
  <c r="BS63" i="1"/>
  <c r="BT63" i="1"/>
  <c r="BU63" i="1"/>
  <c r="BV63" i="1"/>
  <c r="BZ63" i="1"/>
  <c r="CA63" i="1"/>
  <c r="BR64" i="1"/>
  <c r="CB64" i="1" s="1"/>
  <c r="BS64" i="1"/>
  <c r="BT64" i="1"/>
  <c r="BU64" i="1"/>
  <c r="BV64" i="1"/>
  <c r="BZ64" i="1"/>
  <c r="CA64" i="1"/>
  <c r="BR65" i="1"/>
  <c r="BX65" i="1" s="1"/>
  <c r="BY65" i="1" s="1"/>
  <c r="BS65" i="1"/>
  <c r="BT65" i="1"/>
  <c r="BU65" i="1"/>
  <c r="BV65" i="1"/>
  <c r="BZ65" i="1"/>
  <c r="CA65" i="1"/>
  <c r="BR66" i="1"/>
  <c r="CB66" i="1" s="1"/>
  <c r="BS66" i="1"/>
  <c r="BT66" i="1"/>
  <c r="BU66" i="1"/>
  <c r="BV66" i="1"/>
  <c r="BZ66" i="1"/>
  <c r="CA66" i="1"/>
  <c r="BR67" i="1"/>
  <c r="CB67" i="1" s="1"/>
  <c r="BS67" i="1"/>
  <c r="BT67" i="1"/>
  <c r="BU67" i="1"/>
  <c r="BV67" i="1"/>
  <c r="BX67" i="1"/>
  <c r="BY67" i="1" s="1"/>
  <c r="BZ67" i="1"/>
  <c r="CA67" i="1"/>
  <c r="BR68" i="1"/>
  <c r="BX68" i="1" s="1"/>
  <c r="BY68" i="1" s="1"/>
  <c r="BS68" i="1"/>
  <c r="BT68" i="1"/>
  <c r="BU68" i="1"/>
  <c r="BV68" i="1"/>
  <c r="BZ68" i="1"/>
  <c r="CA68" i="1"/>
  <c r="BR69" i="1"/>
  <c r="CB69" i="1" s="1"/>
  <c r="BS69" i="1"/>
  <c r="BT69" i="1"/>
  <c r="BU69" i="1"/>
  <c r="BV69" i="1"/>
  <c r="BZ69" i="1"/>
  <c r="CA69" i="1"/>
  <c r="BR70" i="1"/>
  <c r="BX70" i="1" s="1"/>
  <c r="BY70" i="1" s="1"/>
  <c r="BS70" i="1"/>
  <c r="BT70" i="1"/>
  <c r="BU70" i="1"/>
  <c r="BV70" i="1"/>
  <c r="BZ70" i="1"/>
  <c r="CA70" i="1"/>
  <c r="BR71" i="1"/>
  <c r="BW71" i="1" s="1"/>
  <c r="BS71" i="1"/>
  <c r="BT71" i="1"/>
  <c r="BU71" i="1"/>
  <c r="BV71" i="1"/>
  <c r="BZ71" i="1"/>
  <c r="CA71" i="1"/>
  <c r="BR72" i="1"/>
  <c r="CB72" i="1" s="1"/>
  <c r="BS72" i="1"/>
  <c r="BT72" i="1"/>
  <c r="BU72" i="1"/>
  <c r="BV72" i="1"/>
  <c r="BZ72" i="1"/>
  <c r="CA72" i="1"/>
  <c r="BR73" i="1"/>
  <c r="BX73" i="1" s="1"/>
  <c r="BY73" i="1" s="1"/>
  <c r="BS73" i="1"/>
  <c r="BT73" i="1"/>
  <c r="BU73" i="1"/>
  <c r="BV73" i="1"/>
  <c r="BZ73" i="1"/>
  <c r="CA73" i="1"/>
  <c r="BR74" i="1"/>
  <c r="CB74" i="1" s="1"/>
  <c r="BS74" i="1"/>
  <c r="BT74" i="1"/>
  <c r="BU74" i="1"/>
  <c r="BV74" i="1"/>
  <c r="BZ74" i="1"/>
  <c r="CA74" i="1"/>
  <c r="BR75" i="1"/>
  <c r="CB75" i="1" s="1"/>
  <c r="BS75" i="1"/>
  <c r="BT75" i="1"/>
  <c r="BU75" i="1"/>
  <c r="BV75" i="1"/>
  <c r="BZ75" i="1"/>
  <c r="CA75" i="1"/>
  <c r="BR76" i="1"/>
  <c r="BX76" i="1" s="1"/>
  <c r="BY76" i="1" s="1"/>
  <c r="BS76" i="1"/>
  <c r="BT76" i="1"/>
  <c r="BU76" i="1"/>
  <c r="BV76" i="1"/>
  <c r="BZ76" i="1"/>
  <c r="CA76" i="1"/>
  <c r="BR77" i="1"/>
  <c r="CB77" i="1" s="1"/>
  <c r="BS77" i="1"/>
  <c r="BT77" i="1"/>
  <c r="BU77" i="1"/>
  <c r="BV77" i="1"/>
  <c r="BZ77" i="1"/>
  <c r="CA77" i="1"/>
  <c r="BR78" i="1"/>
  <c r="CB78" i="1" s="1"/>
  <c r="BS78" i="1"/>
  <c r="BT78" i="1"/>
  <c r="BU78" i="1"/>
  <c r="BV78" i="1"/>
  <c r="BZ78" i="1"/>
  <c r="CA78" i="1"/>
  <c r="BR79" i="1"/>
  <c r="BW79" i="1" s="1"/>
  <c r="BS79" i="1"/>
  <c r="BT79" i="1"/>
  <c r="BU79" i="1"/>
  <c r="BV79" i="1"/>
  <c r="BZ79" i="1"/>
  <c r="CA79" i="1"/>
  <c r="BR80" i="1"/>
  <c r="CB80" i="1" s="1"/>
  <c r="BS80" i="1"/>
  <c r="BT80" i="1"/>
  <c r="BU80" i="1"/>
  <c r="BV80" i="1"/>
  <c r="BZ80" i="1"/>
  <c r="CA80" i="1"/>
  <c r="BR81" i="1"/>
  <c r="BX81" i="1" s="1"/>
  <c r="BY81" i="1" s="1"/>
  <c r="BS81" i="1"/>
  <c r="BT81" i="1"/>
  <c r="BU81" i="1"/>
  <c r="BV81" i="1"/>
  <c r="BZ81" i="1"/>
  <c r="CA81" i="1"/>
  <c r="BR82" i="1"/>
  <c r="CB82" i="1" s="1"/>
  <c r="BS82" i="1"/>
  <c r="BT82" i="1"/>
  <c r="BU82" i="1"/>
  <c r="BV82" i="1"/>
  <c r="BZ82" i="1"/>
  <c r="CA82" i="1"/>
  <c r="BR83" i="1"/>
  <c r="BX83" i="1" s="1"/>
  <c r="BY83" i="1" s="1"/>
  <c r="BS83" i="1"/>
  <c r="BT83" i="1"/>
  <c r="BU83" i="1"/>
  <c r="BV83" i="1"/>
  <c r="BZ83" i="1"/>
  <c r="CA83" i="1"/>
  <c r="BR84" i="1"/>
  <c r="BX84" i="1" s="1"/>
  <c r="BY84" i="1" s="1"/>
  <c r="BS84" i="1"/>
  <c r="BT84" i="1"/>
  <c r="BU84" i="1"/>
  <c r="BV84" i="1"/>
  <c r="BZ84" i="1"/>
  <c r="CA84" i="1"/>
  <c r="CB84" i="1"/>
  <c r="BR85" i="1"/>
  <c r="CB85" i="1" s="1"/>
  <c r="BS85" i="1"/>
  <c r="BT85" i="1"/>
  <c r="BU85" i="1"/>
  <c r="BV85" i="1"/>
  <c r="BZ85" i="1"/>
  <c r="CA85" i="1"/>
  <c r="BR86" i="1"/>
  <c r="BW86" i="1" s="1"/>
  <c r="BS86" i="1"/>
  <c r="BT86" i="1"/>
  <c r="BU86" i="1"/>
  <c r="BV86" i="1"/>
  <c r="BZ86" i="1"/>
  <c r="CA86" i="1"/>
  <c r="BR87" i="1"/>
  <c r="BW87" i="1" s="1"/>
  <c r="BS87" i="1"/>
  <c r="BT87" i="1"/>
  <c r="BU87" i="1"/>
  <c r="BV87" i="1"/>
  <c r="BZ87" i="1"/>
  <c r="CA87" i="1"/>
  <c r="BR88" i="1"/>
  <c r="CB88" i="1" s="1"/>
  <c r="BS88" i="1"/>
  <c r="BT88" i="1"/>
  <c r="BU88" i="1"/>
  <c r="BV88" i="1"/>
  <c r="BZ88" i="1"/>
  <c r="CA88" i="1"/>
  <c r="BR89" i="1"/>
  <c r="BX89" i="1" s="1"/>
  <c r="BY89" i="1" s="1"/>
  <c r="BS89" i="1"/>
  <c r="BT89" i="1"/>
  <c r="BU89" i="1"/>
  <c r="BV89" i="1"/>
  <c r="BZ89" i="1"/>
  <c r="CA89" i="1"/>
  <c r="BR90" i="1"/>
  <c r="CB90" i="1" s="1"/>
  <c r="BS90" i="1"/>
  <c r="BT90" i="1"/>
  <c r="BU90" i="1"/>
  <c r="BV90" i="1"/>
  <c r="BZ90" i="1"/>
  <c r="CA90" i="1"/>
  <c r="BR91" i="1"/>
  <c r="CB91" i="1" s="1"/>
  <c r="BS91" i="1"/>
  <c r="BT91" i="1"/>
  <c r="BU91" i="1"/>
  <c r="BV91" i="1"/>
  <c r="BZ91" i="1"/>
  <c r="CA91" i="1"/>
  <c r="BR92" i="1"/>
  <c r="BX92" i="1" s="1"/>
  <c r="BY92" i="1" s="1"/>
  <c r="BS92" i="1"/>
  <c r="BT92" i="1"/>
  <c r="BU92" i="1"/>
  <c r="BV92" i="1"/>
  <c r="BZ92" i="1"/>
  <c r="CA92" i="1"/>
  <c r="BR93" i="1"/>
  <c r="CB93" i="1" s="1"/>
  <c r="BS93" i="1"/>
  <c r="BT93" i="1"/>
  <c r="BU93" i="1"/>
  <c r="BV93" i="1"/>
  <c r="BZ93" i="1"/>
  <c r="CA93" i="1"/>
  <c r="BR94" i="1"/>
  <c r="BX94" i="1" s="1"/>
  <c r="BY94" i="1" s="1"/>
  <c r="BS94" i="1"/>
  <c r="BT94" i="1"/>
  <c r="BU94" i="1"/>
  <c r="BV94" i="1"/>
  <c r="BZ94" i="1"/>
  <c r="CA94" i="1"/>
  <c r="BR95" i="1"/>
  <c r="BW95" i="1" s="1"/>
  <c r="BS95" i="1"/>
  <c r="BT95" i="1"/>
  <c r="BU95" i="1"/>
  <c r="BV95" i="1"/>
  <c r="BZ95" i="1"/>
  <c r="CA95" i="1"/>
  <c r="BR96" i="1"/>
  <c r="CB96" i="1" s="1"/>
  <c r="BS96" i="1"/>
  <c r="BT96" i="1"/>
  <c r="BU96" i="1"/>
  <c r="BV96" i="1"/>
  <c r="BZ96" i="1"/>
  <c r="CA96" i="1"/>
  <c r="BR97" i="1"/>
  <c r="BX97" i="1" s="1"/>
  <c r="BY97" i="1" s="1"/>
  <c r="BS97" i="1"/>
  <c r="BT97" i="1"/>
  <c r="BU97" i="1"/>
  <c r="BV97" i="1"/>
  <c r="BZ97" i="1"/>
  <c r="CA97" i="1"/>
  <c r="BR98" i="1"/>
  <c r="CB98" i="1" s="1"/>
  <c r="BS98" i="1"/>
  <c r="BT98" i="1"/>
  <c r="BU98" i="1"/>
  <c r="BV98" i="1"/>
  <c r="BZ98" i="1"/>
  <c r="CA98" i="1"/>
  <c r="BR99" i="1"/>
  <c r="BW99" i="1" s="1"/>
  <c r="BS99" i="1"/>
  <c r="BT99" i="1"/>
  <c r="BU99" i="1"/>
  <c r="BV99" i="1"/>
  <c r="BZ99" i="1"/>
  <c r="CA99" i="1"/>
  <c r="BR100" i="1"/>
  <c r="BX100" i="1" s="1"/>
  <c r="BY100" i="1" s="1"/>
  <c r="BS100" i="1"/>
  <c r="BT100" i="1"/>
  <c r="BU100" i="1"/>
  <c r="BV100" i="1"/>
  <c r="BZ100" i="1"/>
  <c r="CA100" i="1"/>
  <c r="CB100" i="1"/>
  <c r="BX43" i="1" l="1"/>
  <c r="BY43" i="1" s="1"/>
  <c r="BW43" i="1"/>
  <c r="CB95" i="1"/>
  <c r="BW42" i="1"/>
  <c r="CB63" i="1"/>
  <c r="BX96" i="1"/>
  <c r="BY96" i="1" s="1"/>
  <c r="CB87" i="1"/>
  <c r="BX88" i="1"/>
  <c r="BY88" i="1" s="1"/>
  <c r="BW67" i="1"/>
  <c r="BW66" i="1"/>
  <c r="BX63" i="1"/>
  <c r="BY63" i="1" s="1"/>
  <c r="BW62" i="1"/>
  <c r="BW61" i="1"/>
  <c r="BX64" i="1"/>
  <c r="BY64" i="1" s="1"/>
  <c r="BX78" i="1"/>
  <c r="BY78" i="1" s="1"/>
  <c r="CB52" i="1"/>
  <c r="BX47" i="1"/>
  <c r="BY47" i="1" s="1"/>
  <c r="CB71" i="1"/>
  <c r="CB92" i="1"/>
  <c r="CB76" i="1"/>
  <c r="CB44" i="1"/>
  <c r="CB99" i="1"/>
  <c r="CB86" i="1"/>
  <c r="BW94" i="1"/>
  <c r="BW93" i="1"/>
  <c r="BX91" i="1"/>
  <c r="BY91" i="1" s="1"/>
  <c r="BW75" i="1"/>
  <c r="BW74" i="1"/>
  <c r="BX71" i="1"/>
  <c r="BY71" i="1" s="1"/>
  <c r="CB94" i="1"/>
  <c r="BX99" i="1"/>
  <c r="BY99" i="1" s="1"/>
  <c r="BX86" i="1"/>
  <c r="BY86" i="1" s="1"/>
  <c r="BX72" i="1"/>
  <c r="BY72" i="1" s="1"/>
  <c r="CB55" i="1"/>
  <c r="CB46" i="1"/>
  <c r="CB83" i="1"/>
  <c r="BX75" i="1"/>
  <c r="BY75" i="1" s="1"/>
  <c r="BX62" i="1"/>
  <c r="BY62" i="1" s="1"/>
  <c r="BW91" i="1"/>
  <c r="BW90" i="1"/>
  <c r="BX87" i="1"/>
  <c r="BY87" i="1" s="1"/>
  <c r="BW78" i="1"/>
  <c r="BW77" i="1"/>
  <c r="CB70" i="1"/>
  <c r="CB60" i="1"/>
  <c r="CB59" i="1"/>
  <c r="BX51" i="1"/>
  <c r="BY51" i="1" s="1"/>
  <c r="BX48" i="1"/>
  <c r="BY48" i="1" s="1"/>
  <c r="BW83" i="1"/>
  <c r="BW82" i="1"/>
  <c r="BX79" i="1"/>
  <c r="BY79" i="1" s="1"/>
  <c r="BW70" i="1"/>
  <c r="BW69" i="1"/>
  <c r="BX80" i="1"/>
  <c r="BY80" i="1" s="1"/>
  <c r="BW59" i="1"/>
  <c r="BW58" i="1"/>
  <c r="BX55" i="1"/>
  <c r="BY55" i="1" s="1"/>
  <c r="BW46" i="1"/>
  <c r="BW45" i="1"/>
  <c r="CB79" i="1"/>
  <c r="CB47" i="1"/>
  <c r="BW98" i="1"/>
  <c r="BX95" i="1"/>
  <c r="BY95" i="1" s="1"/>
  <c r="BW85" i="1"/>
  <c r="CB68" i="1"/>
  <c r="BX56" i="1"/>
  <c r="BY56" i="1" s="1"/>
  <c r="BX98" i="1"/>
  <c r="BY98" i="1" s="1"/>
  <c r="BX90" i="1"/>
  <c r="BY90" i="1" s="1"/>
  <c r="BX82" i="1"/>
  <c r="BY82" i="1" s="1"/>
  <c r="BX74" i="1"/>
  <c r="BY74" i="1" s="1"/>
  <c r="BX66" i="1"/>
  <c r="BY66" i="1" s="1"/>
  <c r="BX58" i="1"/>
  <c r="BY58" i="1" s="1"/>
  <c r="BX50" i="1"/>
  <c r="BY50" i="1" s="1"/>
  <c r="BX42" i="1"/>
  <c r="BY42" i="1" s="1"/>
  <c r="CB97" i="1"/>
  <c r="BW96" i="1"/>
  <c r="BX93" i="1"/>
  <c r="BY93" i="1" s="1"/>
  <c r="CB89" i="1"/>
  <c r="BW88" i="1"/>
  <c r="BX85" i="1"/>
  <c r="BY85" i="1" s="1"/>
  <c r="CB81" i="1"/>
  <c r="BW80" i="1"/>
  <c r="BX77" i="1"/>
  <c r="BY77" i="1" s="1"/>
  <c r="CB73" i="1"/>
  <c r="BW72" i="1"/>
  <c r="BX69" i="1"/>
  <c r="BY69" i="1" s="1"/>
  <c r="CB65" i="1"/>
  <c r="BW64" i="1"/>
  <c r="BX61" i="1"/>
  <c r="BY61" i="1" s="1"/>
  <c r="CB57" i="1"/>
  <c r="BW56" i="1"/>
  <c r="BX53" i="1"/>
  <c r="BY53" i="1" s="1"/>
  <c r="CB49" i="1"/>
  <c r="BW48" i="1"/>
  <c r="BX45" i="1"/>
  <c r="BY45" i="1" s="1"/>
  <c r="CB41" i="1"/>
  <c r="BW97" i="1"/>
  <c r="BW89" i="1"/>
  <c r="BW81" i="1"/>
  <c r="BW73" i="1"/>
  <c r="BW65" i="1"/>
  <c r="BW57" i="1"/>
  <c r="BW49" i="1"/>
  <c r="BW41" i="1"/>
  <c r="BW92" i="1"/>
  <c r="BW84" i="1"/>
  <c r="BW76" i="1"/>
  <c r="BW68" i="1"/>
  <c r="BW60" i="1"/>
  <c r="BW52" i="1"/>
  <c r="BW44" i="1"/>
  <c r="BW100" i="1"/>
  <c r="P21" i="9" l="1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A21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A20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A19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A18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A17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16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15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A14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13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12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11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10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9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8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7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A6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A5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A4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A3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2" i="9"/>
  <c r="CA8" i="1" l="1"/>
  <c r="CA9" i="1"/>
  <c r="CA10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BZ8" i="1" l="1"/>
  <c r="BZ9" i="1"/>
  <c r="BZ10" i="1"/>
  <c r="BZ11" i="1"/>
  <c r="BZ12" i="1"/>
  <c r="BZ13" i="1"/>
  <c r="BZ14" i="1"/>
  <c r="BZ15" i="1"/>
  <c r="BZ16" i="1"/>
  <c r="BZ17" i="1"/>
  <c r="BZ18" i="1"/>
  <c r="BZ19" i="1"/>
  <c r="BZ20" i="1"/>
  <c r="BZ21" i="1"/>
  <c r="BZ22" i="1"/>
  <c r="BZ23" i="1"/>
  <c r="BZ24" i="1"/>
  <c r="BZ25" i="1"/>
  <c r="BZ26" i="1"/>
  <c r="BZ27" i="1"/>
  <c r="BZ28" i="1"/>
  <c r="BZ29" i="1"/>
  <c r="BZ30" i="1"/>
  <c r="BZ31" i="1"/>
  <c r="BZ32" i="1"/>
  <c r="BZ33" i="1"/>
  <c r="BZ34" i="1"/>
  <c r="BZ35" i="1"/>
  <c r="BZ36" i="1"/>
  <c r="BZ37" i="1"/>
  <c r="BZ38" i="1"/>
  <c r="BZ39" i="1"/>
  <c r="BZ40" i="1"/>
  <c r="BS8" i="1"/>
  <c r="BT8" i="1"/>
  <c r="BU8" i="1"/>
  <c r="BV8" i="1"/>
  <c r="BS9" i="1"/>
  <c r="BT9" i="1"/>
  <c r="BU9" i="1"/>
  <c r="BV9" i="1"/>
  <c r="BS10" i="1"/>
  <c r="BT10" i="1"/>
  <c r="BU10" i="1"/>
  <c r="BV10" i="1"/>
  <c r="BS11" i="1"/>
  <c r="BT11" i="1"/>
  <c r="BU11" i="1"/>
  <c r="BV11" i="1"/>
  <c r="BS12" i="1"/>
  <c r="BT12" i="1"/>
  <c r="BU12" i="1"/>
  <c r="BV12" i="1"/>
  <c r="BS13" i="1"/>
  <c r="BT13" i="1"/>
  <c r="BU13" i="1"/>
  <c r="BV13" i="1"/>
  <c r="BS14" i="1"/>
  <c r="BT14" i="1"/>
  <c r="BU14" i="1"/>
  <c r="BV14" i="1"/>
  <c r="BS15" i="1"/>
  <c r="BT15" i="1"/>
  <c r="BU15" i="1"/>
  <c r="BV15" i="1"/>
  <c r="BS16" i="1"/>
  <c r="BT16" i="1"/>
  <c r="BU16" i="1"/>
  <c r="BV16" i="1"/>
  <c r="BS17" i="1"/>
  <c r="BT17" i="1"/>
  <c r="BU17" i="1"/>
  <c r="BV17" i="1"/>
  <c r="BS18" i="1"/>
  <c r="BT18" i="1"/>
  <c r="BU18" i="1"/>
  <c r="BV18" i="1"/>
  <c r="BS19" i="1"/>
  <c r="BT19" i="1"/>
  <c r="BU19" i="1"/>
  <c r="BV19" i="1"/>
  <c r="BS20" i="1"/>
  <c r="BT20" i="1"/>
  <c r="BU20" i="1"/>
  <c r="BV20" i="1"/>
  <c r="BS21" i="1"/>
  <c r="BT21" i="1"/>
  <c r="BU21" i="1"/>
  <c r="BV21" i="1"/>
  <c r="BS22" i="1"/>
  <c r="BT22" i="1"/>
  <c r="BU22" i="1"/>
  <c r="BV22" i="1"/>
  <c r="BS23" i="1"/>
  <c r="BT23" i="1"/>
  <c r="BU23" i="1"/>
  <c r="BV23" i="1"/>
  <c r="BS24" i="1"/>
  <c r="BT24" i="1"/>
  <c r="BU24" i="1"/>
  <c r="BV24" i="1"/>
  <c r="BS25" i="1"/>
  <c r="BT25" i="1"/>
  <c r="BU25" i="1"/>
  <c r="BV25" i="1"/>
  <c r="BS26" i="1"/>
  <c r="BT26" i="1"/>
  <c r="BU26" i="1"/>
  <c r="BV26" i="1"/>
  <c r="BS27" i="1"/>
  <c r="BT27" i="1"/>
  <c r="BU27" i="1"/>
  <c r="BV27" i="1"/>
  <c r="BS28" i="1"/>
  <c r="BT28" i="1"/>
  <c r="BU28" i="1"/>
  <c r="BV28" i="1"/>
  <c r="BS29" i="1"/>
  <c r="BT29" i="1"/>
  <c r="BU29" i="1"/>
  <c r="BV29" i="1"/>
  <c r="BS30" i="1"/>
  <c r="BT30" i="1"/>
  <c r="BU30" i="1"/>
  <c r="BV30" i="1"/>
  <c r="BS31" i="1"/>
  <c r="BT31" i="1"/>
  <c r="BU31" i="1"/>
  <c r="BV31" i="1"/>
  <c r="BS32" i="1"/>
  <c r="BT32" i="1"/>
  <c r="BU32" i="1"/>
  <c r="BV32" i="1"/>
  <c r="BS33" i="1"/>
  <c r="BT33" i="1"/>
  <c r="BU33" i="1"/>
  <c r="BV33" i="1"/>
  <c r="BS34" i="1"/>
  <c r="BT34" i="1"/>
  <c r="BU34" i="1"/>
  <c r="BV34" i="1"/>
  <c r="BS35" i="1"/>
  <c r="BT35" i="1"/>
  <c r="BU35" i="1"/>
  <c r="BV35" i="1"/>
  <c r="BS36" i="1"/>
  <c r="BT36" i="1"/>
  <c r="BU36" i="1"/>
  <c r="BV36" i="1"/>
  <c r="BS37" i="1"/>
  <c r="BT37" i="1"/>
  <c r="BU37" i="1"/>
  <c r="BV37" i="1"/>
  <c r="BS38" i="1"/>
  <c r="BT38" i="1"/>
  <c r="BU38" i="1"/>
  <c r="BV38" i="1"/>
  <c r="BS39" i="1"/>
  <c r="BT39" i="1"/>
  <c r="BU39" i="1"/>
  <c r="BV39" i="1"/>
  <c r="BS40" i="1"/>
  <c r="BT40" i="1"/>
  <c r="BU40" i="1"/>
  <c r="BV40" i="1"/>
  <c r="BR8" i="1"/>
  <c r="BR9" i="1"/>
  <c r="BR10" i="1"/>
  <c r="BX10" i="1" s="1"/>
  <c r="BY10" i="1" s="1"/>
  <c r="BR11" i="1"/>
  <c r="BR12" i="1"/>
  <c r="BR13" i="1"/>
  <c r="BR14" i="1"/>
  <c r="BR15" i="1"/>
  <c r="BR16" i="1"/>
  <c r="BR17" i="1"/>
  <c r="BR18" i="1"/>
  <c r="BX18" i="1" s="1"/>
  <c r="BY18" i="1" s="1"/>
  <c r="BR19" i="1"/>
  <c r="BR20" i="1"/>
  <c r="BR21" i="1"/>
  <c r="BX21" i="1" s="1"/>
  <c r="BY21" i="1" s="1"/>
  <c r="BR22" i="1"/>
  <c r="BR23" i="1"/>
  <c r="BR24" i="1"/>
  <c r="BR25" i="1"/>
  <c r="BR26" i="1"/>
  <c r="BR27" i="1"/>
  <c r="BR28" i="1"/>
  <c r="BR29" i="1"/>
  <c r="BR30" i="1"/>
  <c r="BR31" i="1"/>
  <c r="BR32" i="1"/>
  <c r="BR33" i="1"/>
  <c r="BR34" i="1"/>
  <c r="BR35" i="1"/>
  <c r="BR36" i="1"/>
  <c r="BR37" i="1"/>
  <c r="BR38" i="1"/>
  <c r="BR39" i="1"/>
  <c r="BR40" i="1"/>
  <c r="BW35" i="1" l="1"/>
  <c r="CB35" i="1"/>
  <c r="BW36" i="1"/>
  <c r="CB36" i="1"/>
  <c r="BW28" i="1"/>
  <c r="CB28" i="1"/>
  <c r="BW20" i="1"/>
  <c r="CB20" i="1"/>
  <c r="BW12" i="1"/>
  <c r="CB12" i="1"/>
  <c r="BW37" i="1"/>
  <c r="CB37" i="1"/>
  <c r="BW29" i="1"/>
  <c r="CB29" i="1"/>
  <c r="BW21" i="1"/>
  <c r="CB21" i="1"/>
  <c r="BW13" i="1"/>
  <c r="CB13" i="1"/>
  <c r="BX35" i="1"/>
  <c r="BY35" i="1" s="1"/>
  <c r="BW19" i="1"/>
  <c r="CB19" i="1"/>
  <c r="BW38" i="1"/>
  <c r="CB38" i="1"/>
  <c r="BW14" i="1"/>
  <c r="CB14" i="1"/>
  <c r="BW23" i="1"/>
  <c r="CB23" i="1"/>
  <c r="BW8" i="1"/>
  <c r="CB8" i="1"/>
  <c r="BW27" i="1"/>
  <c r="CB27" i="1"/>
  <c r="BW22" i="1"/>
  <c r="CB22" i="1"/>
  <c r="BW39" i="1"/>
  <c r="CB39" i="1"/>
  <c r="BW15" i="1"/>
  <c r="CB15" i="1"/>
  <c r="BW40" i="1"/>
  <c r="CB40" i="1"/>
  <c r="BW24" i="1"/>
  <c r="CB24" i="1"/>
  <c r="BW25" i="1"/>
  <c r="CB25" i="1"/>
  <c r="BW9" i="1"/>
  <c r="CB9" i="1"/>
  <c r="BX24" i="1"/>
  <c r="BY24" i="1" s="1"/>
  <c r="BX29" i="1"/>
  <c r="BY29" i="1" s="1"/>
  <c r="BW11" i="1"/>
  <c r="CB11" i="1"/>
  <c r="BW30" i="1"/>
  <c r="CB30" i="1"/>
  <c r="BW31" i="1"/>
  <c r="CB31" i="1"/>
  <c r="BW32" i="1"/>
  <c r="CB32" i="1"/>
  <c r="BW16" i="1"/>
  <c r="CB16" i="1"/>
  <c r="BW33" i="1"/>
  <c r="CB33" i="1"/>
  <c r="BW17" i="1"/>
  <c r="CB17" i="1"/>
  <c r="BW34" i="1"/>
  <c r="CB34" i="1"/>
  <c r="BW26" i="1"/>
  <c r="CB26" i="1"/>
  <c r="BW18" i="1"/>
  <c r="CB18" i="1"/>
  <c r="BW10" i="1"/>
  <c r="CB10" i="1"/>
  <c r="BX19" i="1"/>
  <c r="BY19" i="1" s="1"/>
  <c r="BX32" i="1"/>
  <c r="BY32" i="1" s="1"/>
  <c r="BX11" i="1"/>
  <c r="BY11" i="1" s="1"/>
  <c r="BX34" i="1"/>
  <c r="BY34" i="1" s="1"/>
  <c r="BX20" i="1"/>
  <c r="BY20" i="1" s="1"/>
  <c r="BX8" i="1"/>
  <c r="BY8" i="1" s="1"/>
  <c r="BX36" i="1"/>
  <c r="BY36" i="1" s="1"/>
  <c r="BX37" i="1"/>
  <c r="BY37" i="1" s="1"/>
  <c r="BX26" i="1"/>
  <c r="BY26" i="1" s="1"/>
  <c r="BX12" i="1"/>
  <c r="BY12" i="1" s="1"/>
  <c r="BX40" i="1"/>
  <c r="BY40" i="1" s="1"/>
  <c r="BX27" i="1"/>
  <c r="BY27" i="1" s="1"/>
  <c r="BX13" i="1"/>
  <c r="BY13" i="1" s="1"/>
  <c r="BX28" i="1"/>
  <c r="BY28" i="1" s="1"/>
  <c r="BX16" i="1"/>
  <c r="BY16" i="1" s="1"/>
  <c r="BX38" i="1"/>
  <c r="BY38" i="1" s="1"/>
  <c r="BX30" i="1"/>
  <c r="BY30" i="1" s="1"/>
  <c r="BX22" i="1"/>
  <c r="BY22" i="1" s="1"/>
  <c r="BX14" i="1"/>
  <c r="BY14" i="1" s="1"/>
  <c r="BX39" i="1"/>
  <c r="BY39" i="1" s="1"/>
  <c r="BX31" i="1"/>
  <c r="BY31" i="1" s="1"/>
  <c r="BX23" i="1"/>
  <c r="BY23" i="1" s="1"/>
  <c r="BX15" i="1"/>
  <c r="BY15" i="1" s="1"/>
  <c r="BX33" i="1"/>
  <c r="BY33" i="1" s="1"/>
  <c r="BX25" i="1"/>
  <c r="BY25" i="1" s="1"/>
  <c r="BX17" i="1"/>
  <c r="BY17" i="1" s="1"/>
  <c r="BX9" i="1"/>
  <c r="BY9" i="1" s="1"/>
  <c r="CC1" i="1"/>
  <c r="BR7" i="1" s="1"/>
  <c r="BZ7" i="1" s="1"/>
  <c r="CA7" i="1" l="1"/>
  <c r="CB7" i="1"/>
  <c r="CB3" i="1" s="1"/>
  <c r="BZ4" i="1"/>
  <c r="BS7" i="1"/>
  <c r="BU7" i="1"/>
  <c r="BV7" i="1"/>
  <c r="BT7" i="1"/>
  <c r="BX7" i="1"/>
  <c r="BY7" i="1" s="1"/>
  <c r="BW7" i="1"/>
  <c r="BW5" i="1" s="1"/>
  <c r="BZ5" i="1" l="1"/>
  <c r="BZ3" i="1"/>
  <c r="CA4" i="1"/>
  <c r="CA3" i="1"/>
  <c r="CA5" i="1"/>
  <c r="BV5" i="1"/>
  <c r="BV4" i="1"/>
  <c r="BV3" i="1"/>
  <c r="BU4" i="1"/>
  <c r="BU5" i="1"/>
  <c r="BU3" i="1"/>
  <c r="BT4" i="1"/>
  <c r="BT3" i="1"/>
  <c r="BT5" i="1"/>
  <c r="BY4" i="1"/>
  <c r="BY5" i="1"/>
  <c r="BY3" i="1"/>
  <c r="BX3" i="1"/>
  <c r="BX5" i="1"/>
  <c r="BX4" i="1"/>
  <c r="BW4" i="1"/>
  <c r="BW3" i="1"/>
  <c r="BS5" i="1" l="1"/>
  <c r="BS3" i="1"/>
  <c r="BS4" i="1"/>
</calcChain>
</file>

<file path=xl/sharedStrings.xml><?xml version="1.0" encoding="utf-8"?>
<sst xmlns="http://schemas.openxmlformats.org/spreadsheetml/2006/main" count="895" uniqueCount="279">
  <si>
    <t>Address</t>
  </si>
  <si>
    <t>Option</t>
  </si>
  <si>
    <t>Elev.</t>
  </si>
  <si>
    <t>SF</t>
  </si>
  <si>
    <t>Request</t>
  </si>
  <si>
    <t>Date</t>
  </si>
  <si>
    <t>Tested or</t>
  </si>
  <si>
    <t>Sampled</t>
  </si>
  <si>
    <t>M/T/S</t>
  </si>
  <si>
    <t xml:space="preserve">Final Inspection </t>
  </si>
  <si>
    <t>Permit #</t>
  </si>
  <si>
    <t>ENV 21</t>
  </si>
  <si>
    <t xml:space="preserve">ENV 22 </t>
  </si>
  <si>
    <t>Insulation</t>
  </si>
  <si>
    <t>Plumbing</t>
  </si>
  <si>
    <t>Windows</t>
  </si>
  <si>
    <t>MECH 20</t>
  </si>
  <si>
    <t>MECH 23</t>
  </si>
  <si>
    <t>MECH 25</t>
  </si>
  <si>
    <t>MECH 27</t>
  </si>
  <si>
    <t>HVAC</t>
  </si>
  <si>
    <t>ENV 20</t>
  </si>
  <si>
    <t>Registry</t>
  </si>
  <si>
    <t>GPR</t>
  </si>
  <si>
    <t>Trade</t>
  </si>
  <si>
    <t>Company</t>
  </si>
  <si>
    <t>CSLB #</t>
  </si>
  <si>
    <t>Contact Name</t>
  </si>
  <si>
    <t>Phone</t>
  </si>
  <si>
    <t>Cell</t>
  </si>
  <si>
    <t>Fax</t>
  </si>
  <si>
    <t>Email</t>
  </si>
  <si>
    <t>Superintendent</t>
  </si>
  <si>
    <t>Builder</t>
  </si>
  <si>
    <t>Billing</t>
  </si>
  <si>
    <t>Invoice</t>
  </si>
  <si>
    <t>Number</t>
  </si>
  <si>
    <t>WO #</t>
  </si>
  <si>
    <t>MECH 26</t>
  </si>
  <si>
    <t>Tract #</t>
  </si>
  <si>
    <t>MECH 22</t>
  </si>
  <si>
    <t>Infiltration</t>
  </si>
  <si>
    <t>Measure</t>
  </si>
  <si>
    <t>Needed</t>
  </si>
  <si>
    <t>Frame Inspections (QII)</t>
  </si>
  <si>
    <t>Project</t>
  </si>
  <si>
    <t>Notes</t>
  </si>
  <si>
    <t>City</t>
  </si>
  <si>
    <t>Zip</t>
  </si>
  <si>
    <t>Official</t>
  </si>
  <si>
    <t>CF1RPV</t>
  </si>
  <si>
    <t>Inspection</t>
  </si>
  <si>
    <t>PV</t>
  </si>
  <si>
    <t>Received</t>
  </si>
  <si>
    <t>Mandatory</t>
  </si>
  <si>
    <t>Id #</t>
  </si>
  <si>
    <t>Inspected</t>
  </si>
  <si>
    <t>Registered</t>
  </si>
  <si>
    <t>date sent</t>
  </si>
  <si>
    <t>Rough Inspections (QII)</t>
  </si>
  <si>
    <t>ReTest or</t>
  </si>
  <si>
    <t>CF6RS</t>
  </si>
  <si>
    <t>DT #</t>
  </si>
  <si>
    <t>ENV 01</t>
  </si>
  <si>
    <t>MECH 01</t>
  </si>
  <si>
    <t>MECH 04</t>
  </si>
  <si>
    <t>Solar Per BLDG</t>
  </si>
  <si>
    <t>BLDG</t>
  </si>
  <si>
    <t>Type</t>
  </si>
  <si>
    <t>Inverter</t>
  </si>
  <si>
    <t>Module</t>
  </si>
  <si>
    <t>Total Modules</t>
  </si>
  <si>
    <t>Azimuth</t>
  </si>
  <si>
    <t>PV-ID</t>
  </si>
  <si>
    <t>Plan</t>
  </si>
  <si>
    <t>Highlighted - Default colors embedded into spreadhseet</t>
  </si>
  <si>
    <t>Plan Modeled HERs</t>
  </si>
  <si>
    <t>Tested HERs</t>
  </si>
  <si>
    <t>Pending HERs</t>
  </si>
  <si>
    <t>Text Color - change color of text to note progress</t>
  </si>
  <si>
    <t>Regisrty completed</t>
  </si>
  <si>
    <t>Attention / awaiting registration</t>
  </si>
  <si>
    <t>Issue / Problem / Lacking Information - follow up required</t>
  </si>
  <si>
    <t>Place keeper / When adding lots to regisrty - use this to show where stopped</t>
  </si>
  <si>
    <t>Tab Color - Default</t>
  </si>
  <si>
    <t>CHEERS Regisrty</t>
  </si>
  <si>
    <t>CalCerts Registry</t>
  </si>
  <si>
    <t>Number of Stories</t>
  </si>
  <si>
    <t>Square Footage</t>
  </si>
  <si>
    <t>Glazing %</t>
  </si>
  <si>
    <t>Compliance Margin</t>
  </si>
  <si>
    <t>Attic Insulation</t>
  </si>
  <si>
    <t>Under FAU Platform</t>
  </si>
  <si>
    <t>Cool Roof (Aged Reflectance / Emissivity)</t>
  </si>
  <si>
    <t>Radiant Barrier</t>
  </si>
  <si>
    <t>Continuous Wall Insulation</t>
  </si>
  <si>
    <t>Wall Cavity Insulation - 2x4</t>
  </si>
  <si>
    <t>Wall Cavity Insulation - 2x6</t>
  </si>
  <si>
    <t>Floor Over Garage/Exterior</t>
  </si>
  <si>
    <t>Raised Subfloor Insulation</t>
  </si>
  <si>
    <t>Slab Edge Insulation</t>
  </si>
  <si>
    <t>AFUE (Furnace)</t>
  </si>
  <si>
    <t>SEER (A/C Unit)</t>
  </si>
  <si>
    <t>EER (A/C Unit)</t>
  </si>
  <si>
    <t>Duct Insulation</t>
  </si>
  <si>
    <t>Refrigerant Charge Test or CID</t>
  </si>
  <si>
    <t>EER Verification</t>
  </si>
  <si>
    <t>Low Leakage Airhandler</t>
  </si>
  <si>
    <t>Ducts In Conditioned Space</t>
  </si>
  <si>
    <t>Duct Surface Area Verification</t>
  </si>
  <si>
    <t>Buried Ducts Verfication</t>
  </si>
  <si>
    <t>Energy Source</t>
  </si>
  <si>
    <t>Energy Factor</t>
  </si>
  <si>
    <t>Distribution</t>
  </si>
  <si>
    <t>Pipe Insulation (R-4)</t>
  </si>
  <si>
    <t>Operable</t>
  </si>
  <si>
    <t>Fixed</t>
  </si>
  <si>
    <t>Sliding Door</t>
  </si>
  <si>
    <t>French Door</t>
  </si>
  <si>
    <t>Lot #</t>
  </si>
  <si>
    <t>Phase #</t>
  </si>
  <si>
    <t>ES Sticker</t>
  </si>
  <si>
    <t>sent by</t>
  </si>
  <si>
    <t>Order</t>
  </si>
  <si>
    <t>R-19</t>
  </si>
  <si>
    <t>Yes</t>
  </si>
  <si>
    <t>R-13</t>
  </si>
  <si>
    <t>SOLAR INFORMATION</t>
  </si>
  <si>
    <t>ENV 23</t>
  </si>
  <si>
    <t>ENV 24</t>
  </si>
  <si>
    <t>MECH 21</t>
  </si>
  <si>
    <t>MECH 29</t>
  </si>
  <si>
    <t>PLM 21</t>
  </si>
  <si>
    <t>Program Completion</t>
  </si>
  <si>
    <t>PLM 22</t>
  </si>
  <si>
    <t>BD</t>
  </si>
  <si>
    <t>QII</t>
  </si>
  <si>
    <t>QII - SIP</t>
  </si>
  <si>
    <t>MECH 20a</t>
  </si>
  <si>
    <t>MECH 20b</t>
  </si>
  <si>
    <t>MECH 20c</t>
  </si>
  <si>
    <t>DT</t>
  </si>
  <si>
    <t>LLDCS</t>
  </si>
  <si>
    <t>LLAHU</t>
  </si>
  <si>
    <t>DLOC</t>
  </si>
  <si>
    <t>AF</t>
  </si>
  <si>
    <t>FWD</t>
  </si>
  <si>
    <t>RCM</t>
  </si>
  <si>
    <t>SEER/EER</t>
  </si>
  <si>
    <t>IAQ</t>
  </si>
  <si>
    <t>DD</t>
  </si>
  <si>
    <t>MFDHW</t>
  </si>
  <si>
    <t>SFDHW</t>
  </si>
  <si>
    <t>CAHP</t>
  </si>
  <si>
    <t>Group#</t>
  </si>
  <si>
    <t>E.Star</t>
  </si>
  <si>
    <t>LEED</t>
  </si>
  <si>
    <t>HVAC MECH 01</t>
  </si>
  <si>
    <t>Start Up</t>
  </si>
  <si>
    <t>Testing</t>
  </si>
  <si>
    <t>Completed</t>
  </si>
  <si>
    <t>Project Name</t>
  </si>
  <si>
    <t>Climate Zone:</t>
  </si>
  <si>
    <t>EnergyPro 6.3</t>
  </si>
  <si>
    <t>2013 Code Minimum Compliance Requirements</t>
  </si>
  <si>
    <t>Plan Name</t>
  </si>
  <si>
    <t>--</t>
  </si>
  <si>
    <t>CAHP Score</t>
  </si>
  <si>
    <t>Estimated Incentive (low/high)</t>
  </si>
  <si>
    <t>Minimum Envelope Requirements</t>
  </si>
  <si>
    <t>R-30</t>
  </si>
  <si>
    <t>Minimum HVAC Efficiency Requirements</t>
  </si>
  <si>
    <t>Zonally Controlled</t>
  </si>
  <si>
    <t>Bypass Ducts</t>
  </si>
  <si>
    <t>Whole House Fan</t>
  </si>
  <si>
    <t>Photovoltaic</t>
  </si>
  <si>
    <t>System Size kWh</t>
  </si>
  <si>
    <t>HERS Verification Requirements - Third Party Field Verifications by a Certified HERS Rater</t>
  </si>
  <si>
    <t>Low Leakage Ducts (target)</t>
  </si>
  <si>
    <t>Airflow Verification (target cfm/ton)</t>
  </si>
  <si>
    <t>Fan Wattage Verification (target cfm/W)</t>
  </si>
  <si>
    <t>Mechanical Ventilation Verification (ASHRAE 62.2)</t>
  </si>
  <si>
    <t xml:space="preserve">   Minimum Continuous Ventilation Req (CFM)</t>
  </si>
  <si>
    <t>SEER Verification</t>
  </si>
  <si>
    <t>Infiltration Inspection (Blower Door) ACH50</t>
  </si>
  <si>
    <t>Quality Insulation Installation Inspection (HQII)</t>
  </si>
  <si>
    <t xml:space="preserve">   HQII - Thermal Bypass</t>
  </si>
  <si>
    <t>Domestic Hot Water Heating Requirements</t>
  </si>
  <si>
    <t>Thermal Efficiency</t>
  </si>
  <si>
    <t>Kitchen Pipe Insulation</t>
  </si>
  <si>
    <t>Window Efficiency Requirements - Typical All Plans</t>
  </si>
  <si>
    <t>U-Value</t>
  </si>
  <si>
    <t>SHGC</t>
  </si>
  <si>
    <t>Glass Panel Door</t>
  </si>
  <si>
    <t>"Brand/Series"</t>
  </si>
  <si>
    <t>Revisions Log</t>
  </si>
  <si>
    <t>R-38</t>
  </si>
  <si>
    <t>Avg Ceiling Hgt</t>
  </si>
  <si>
    <t>Heating Make</t>
  </si>
  <si>
    <t>Heating Serial</t>
  </si>
  <si>
    <t>Heating Model</t>
  </si>
  <si>
    <t>Coil Make</t>
  </si>
  <si>
    <t>Coil Model</t>
  </si>
  <si>
    <t>Coil Serial</t>
  </si>
  <si>
    <t>AC Make</t>
  </si>
  <si>
    <t>AC Model</t>
  </si>
  <si>
    <t>AC Serial</t>
  </si>
  <si>
    <t>DWH Make</t>
  </si>
  <si>
    <t>DWH Model</t>
  </si>
  <si>
    <t>Heating Efficiency</t>
  </si>
  <si>
    <t>Heating Btu</t>
  </si>
  <si>
    <t>AC SEER</t>
  </si>
  <si>
    <t>AC Tons</t>
  </si>
  <si>
    <t>AC EER</t>
  </si>
  <si>
    <t>Rater Name</t>
  </si>
  <si>
    <t>Manometer Make</t>
  </si>
  <si>
    <t>Manometer Model</t>
  </si>
  <si>
    <t>Manometer Serial</t>
  </si>
  <si>
    <t>Flow Hood Make</t>
  </si>
  <si>
    <t>Flow Hood Model</t>
  </si>
  <si>
    <t>Flow Hood Serial</t>
  </si>
  <si>
    <t>Flow Grid Make</t>
  </si>
  <si>
    <t>Flow Grid Model</t>
  </si>
  <si>
    <t>Flow Grid Serial</t>
  </si>
  <si>
    <t>BD Fan Make</t>
  </si>
  <si>
    <t>BD Fan Model</t>
  </si>
  <si>
    <t>BD Fan Serial</t>
  </si>
  <si>
    <t>RCM Gauge Make</t>
  </si>
  <si>
    <t>RCM Gauge Model</t>
  </si>
  <si>
    <t>RCM Gauge Serial</t>
  </si>
  <si>
    <t>Days Since</t>
  </si>
  <si>
    <t>Outsanding</t>
  </si>
  <si>
    <t>Work Needed:</t>
  </si>
  <si>
    <t>Queued:</t>
  </si>
  <si>
    <t>Completed:</t>
  </si>
  <si>
    <t>Bill  Reqested</t>
  </si>
  <si>
    <t>Inv. Entered</t>
  </si>
  <si>
    <t>Solar Billed</t>
  </si>
  <si>
    <t>CF2R Request</t>
  </si>
  <si>
    <t>Forms V.</t>
  </si>
  <si>
    <t>2013v1</t>
  </si>
  <si>
    <t>This auto updates from a file on server.</t>
  </si>
  <si>
    <t>Open Equipment Log</t>
  </si>
  <si>
    <t>WO#</t>
  </si>
  <si>
    <t>CF2R</t>
  </si>
  <si>
    <t>Bill HVAC Contractor</t>
  </si>
  <si>
    <t>HVAC Billed</t>
  </si>
  <si>
    <t>CalCERTS</t>
  </si>
  <si>
    <t>JE</t>
  </si>
  <si>
    <t>Outstanding</t>
  </si>
  <si>
    <t>Measures</t>
  </si>
  <si>
    <t>Jeremiah Tester</t>
  </si>
  <si>
    <t>Test RNC</t>
  </si>
  <si>
    <t>Ripon</t>
  </si>
  <si>
    <t>1234 Anywhere</t>
  </si>
  <si>
    <t>A</t>
  </si>
  <si>
    <t>Model</t>
  </si>
  <si>
    <t>Jeremiah HVAC</t>
  </si>
  <si>
    <t>skober@example.com</t>
  </si>
  <si>
    <t>Jeremiah Insulation</t>
  </si>
  <si>
    <t>Jeremiah Windows</t>
  </si>
  <si>
    <t>Jeremiah Plumbing</t>
  </si>
  <si>
    <t>Jeremiah MECH01</t>
  </si>
  <si>
    <t>Jeremiah Super</t>
  </si>
  <si>
    <t>-</t>
  </si>
  <si>
    <t>209-765-4716</t>
  </si>
  <si>
    <t>Version 2013v1.1</t>
  </si>
  <si>
    <t>Jeremiah ENV20</t>
  </si>
  <si>
    <t>ENV20</t>
  </si>
  <si>
    <t>X</t>
  </si>
  <si>
    <t>Insul</t>
  </si>
  <si>
    <t>ENV 02</t>
  </si>
  <si>
    <t>ENV 03</t>
  </si>
  <si>
    <t>Solar</t>
  </si>
  <si>
    <t>Jeremiah Solar</t>
  </si>
  <si>
    <t xml:space="preserve">CF6RPV </t>
  </si>
  <si>
    <t>Lot</t>
  </si>
  <si>
    <t>Last Request Date:</t>
  </si>
  <si>
    <t>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</si>
</sst>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%"/>
    <numFmt numFmtId="166" formatCode="0.0"/>
    <numFmt numFmtId="167" formatCode="[$-409]mmmm\ d\,\ yyyy;@"/>
    <numFmt numFmtId="168" formatCode="[$-409]dd\-mmm\-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0"/>
      <name val="Arial"/>
      <family val="2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Arial"/>
      <family val="2"/>
    </font>
    <font>
      <b/>
      <sz val="11"/>
      <color rgb="FFFF0000"/>
      <name val="Calibri"/>
      <family val="2"/>
      <scheme val="minor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02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3" xfId="0" applyBorder="1"/>
    <xf numFmtId="0" fontId="0" fillId="0" borderId="0" xfId="0" applyBorder="1"/>
    <xf numFmtId="0" fontId="1" fillId="2" borderId="0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ont="1" applyFill="1" applyAlignment="1" applyProtection="1">
      <alignment horizontal="center"/>
    </xf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/>
    <xf numFmtId="0" fontId="4" fillId="2" borderId="0" xfId="0" applyFont="1" applyFill="1" applyBorder="1" applyAlignment="1" applyProtection="1">
      <alignment horizontal="center"/>
    </xf>
    <xf numFmtId="0" fontId="0" fillId="2" borderId="0" xfId="0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4" fontId="0" fillId="2" borderId="1" xfId="0" applyNumberFormat="1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/>
    <xf numFmtId="164" fontId="1" fillId="2" borderId="0" xfId="0" applyNumberFormat="1" applyFont="1" applyFill="1" applyBorder="1" applyAlignment="1" applyProtection="1">
      <alignment horizontal="center"/>
    </xf>
    <xf numFmtId="164" fontId="1" fillId="2" borderId="1" xfId="0" applyNumberFormat="1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/>
    <xf numFmtId="0" fontId="1" fillId="2" borderId="1" xfId="0" applyFont="1" applyFill="1" applyBorder="1" applyAlignment="1" applyProtection="1"/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</xf>
    <xf numFmtId="0" fontId="4" fillId="2" borderId="0" xfId="0" applyFont="1" applyFill="1" applyAlignment="1" applyProtection="1">
      <alignment horizontal="center"/>
    </xf>
    <xf numFmtId="0" fontId="1" fillId="2" borderId="4" xfId="0" applyFont="1" applyFill="1" applyBorder="1" applyAlignment="1" applyProtection="1">
      <alignment horizontal="left"/>
    </xf>
    <xf numFmtId="0" fontId="1" fillId="2" borderId="4" xfId="0" applyFont="1" applyFill="1" applyBorder="1" applyAlignment="1" applyProtection="1">
      <alignment horizontal="center"/>
    </xf>
    <xf numFmtId="0" fontId="0" fillId="2" borderId="0" xfId="0" applyFont="1" applyFill="1" applyBorder="1" applyAlignment="1" applyProtection="1"/>
    <xf numFmtId="14" fontId="0" fillId="2" borderId="2" xfId="0" applyNumberFormat="1" applyFont="1" applyFill="1" applyBorder="1" applyAlignment="1" applyProtection="1">
      <alignment horizontal="center"/>
    </xf>
    <xf numFmtId="164" fontId="0" fillId="2" borderId="1" xfId="0" applyNumberFormat="1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 applyProtection="1">
      <alignment horizontal="center"/>
    </xf>
    <xf numFmtId="14" fontId="0" fillId="0" borderId="0" xfId="0" applyNumberFormat="1" applyFont="1" applyBorder="1" applyAlignment="1" applyProtection="1">
      <alignment horizontal="center"/>
      <protection locked="0"/>
    </xf>
    <xf numFmtId="0" fontId="7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quotePrefix="1" applyNumberForma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2" borderId="0" xfId="0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0" borderId="0" xfId="0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9" fillId="5" borderId="0" xfId="0" applyFont="1" applyFill="1"/>
    <xf numFmtId="0" fontId="0" fillId="6" borderId="0" xfId="0" applyFill="1"/>
    <xf numFmtId="0" fontId="0" fillId="7" borderId="0" xfId="0" applyFill="1"/>
    <xf numFmtId="0" fontId="8" fillId="8" borderId="0" xfId="0" applyFont="1" applyFill="1"/>
    <xf numFmtId="0" fontId="10" fillId="6" borderId="0" xfId="0" applyFont="1" applyFill="1"/>
    <xf numFmtId="0" fontId="0" fillId="9" borderId="0" xfId="0" applyFill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14" fontId="9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 applyProtection="1">
      <alignment horizontal="center"/>
      <protection locked="0"/>
    </xf>
    <xf numFmtId="14" fontId="14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Alignment="1" applyProtection="1">
      <protection locked="0"/>
    </xf>
    <xf numFmtId="0" fontId="9" fillId="0" borderId="0" xfId="0" applyNumberFormat="1" applyFont="1" applyFill="1" applyAlignment="1" applyProtection="1">
      <alignment horizontal="center"/>
      <protection locked="0"/>
    </xf>
    <xf numFmtId="0" fontId="0" fillId="0" borderId="0" xfId="0"/>
    <xf numFmtId="0" fontId="3" fillId="0" borderId="0" xfId="2" applyAlignment="1" applyProtection="1"/>
    <xf numFmtId="0" fontId="0" fillId="0" borderId="0" xfId="0" applyFont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164" fontId="9" fillId="0" borderId="0" xfId="0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Alignment="1" applyProtection="1">
      <protection locked="0"/>
    </xf>
    <xf numFmtId="164" fontId="9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center" shrinkToFit="1"/>
    </xf>
    <xf numFmtId="0" fontId="2" fillId="0" borderId="0" xfId="0" applyFon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1" fillId="0" borderId="0" xfId="0" quotePrefix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11" fillId="0" borderId="0" xfId="0" quotePrefix="1" applyFont="1" applyAlignment="1">
      <alignment horizontal="center" vertical="center"/>
    </xf>
    <xf numFmtId="166" fontId="11" fillId="0" borderId="0" xfId="0" quotePrefix="1" applyNumberFormat="1" applyFont="1" applyFill="1" applyAlignment="1">
      <alignment horizontal="center" vertical="center"/>
    </xf>
    <xf numFmtId="167" fontId="0" fillId="2" borderId="2" xfId="0" applyNumberFormat="1" applyFont="1" applyFill="1" applyBorder="1" applyAlignment="1" applyProtection="1">
      <alignment horizontal="left"/>
    </xf>
    <xf numFmtId="167" fontId="0" fillId="0" borderId="0" xfId="0" applyNumberFormat="1" applyFont="1" applyBorder="1" applyAlignment="1" applyProtection="1">
      <alignment horizontal="left"/>
      <protection locked="0"/>
    </xf>
    <xf numFmtId="15" fontId="0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</xf>
    <xf numFmtId="0" fontId="0" fillId="10" borderId="0" xfId="0" applyFont="1" applyFill="1" applyAlignment="1" applyProtection="1">
      <alignment horizontal="center"/>
      <protection locked="0"/>
    </xf>
    <xf numFmtId="164" fontId="0" fillId="10" borderId="0" xfId="0" applyNumberFormat="1" applyFont="1" applyFill="1" applyAlignment="1">
      <alignment horizontal="center"/>
    </xf>
    <xf numFmtId="0" fontId="0" fillId="10" borderId="0" xfId="0" applyFont="1" applyFill="1" applyAlignment="1">
      <alignment horizontal="center"/>
    </xf>
    <xf numFmtId="0" fontId="0" fillId="10" borderId="0" xfId="0" applyFill="1" applyAlignment="1" applyProtection="1">
      <alignment horizontal="center"/>
      <protection locked="0"/>
    </xf>
    <xf numFmtId="164" fontId="0" fillId="10" borderId="0" xfId="0" applyNumberFormat="1" applyFill="1" applyAlignment="1">
      <alignment horizontal="center"/>
    </xf>
    <xf numFmtId="0" fontId="0" fillId="10" borderId="0" xfId="0" applyFont="1" applyFill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14" fontId="0" fillId="2" borderId="2" xfId="0" applyNumberForma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1" fillId="0" borderId="0" xfId="0" applyFont="1" applyAlignment="1">
      <alignment vertical="center"/>
    </xf>
    <xf numFmtId="0" fontId="2" fillId="0" borderId="0" xfId="0" quotePrefix="1" applyFont="1"/>
    <xf numFmtId="165" fontId="2" fillId="0" borderId="0" xfId="0" quotePrefix="1" applyNumberFormat="1" applyFont="1" applyAlignment="1">
      <alignment horizontal="center" vertical="center"/>
    </xf>
    <xf numFmtId="165" fontId="0" fillId="0" borderId="0" xfId="0" applyNumberFormat="1"/>
    <xf numFmtId="165" fontId="2" fillId="0" borderId="0" xfId="0" applyNumberFormat="1" applyFont="1"/>
    <xf numFmtId="1" fontId="2" fillId="0" borderId="0" xfId="0" quotePrefix="1" applyNumberFormat="1" applyFont="1" applyAlignment="1">
      <alignment horizontal="center" vertical="center"/>
    </xf>
    <xf numFmtId="165" fontId="11" fillId="0" borderId="0" xfId="0" applyNumberFormat="1" applyFont="1" applyFill="1" applyAlignment="1">
      <alignment horizontal="center"/>
    </xf>
    <xf numFmtId="3" fontId="11" fillId="0" borderId="0" xfId="0" quotePrefix="1" applyNumberFormat="1" applyFont="1" applyFill="1" applyAlignment="1">
      <alignment horizontal="center" vertical="center"/>
    </xf>
    <xf numFmtId="0" fontId="2" fillId="0" borderId="0" xfId="0" applyFont="1" applyFill="1" applyBorder="1"/>
    <xf numFmtId="3" fontId="11" fillId="0" borderId="0" xfId="0" quotePrefix="1" applyNumberFormat="1" applyFont="1" applyAlignment="1">
      <alignment horizontal="center" vertical="center"/>
    </xf>
    <xf numFmtId="0" fontId="15" fillId="0" borderId="0" xfId="0" applyFont="1"/>
    <xf numFmtId="9" fontId="2" fillId="0" borderId="0" xfId="0" quotePrefix="1" applyNumberFormat="1" applyFont="1" applyFill="1" applyAlignment="1">
      <alignment horizontal="center" vertical="center"/>
    </xf>
    <xf numFmtId="0" fontId="2" fillId="0" borderId="0" xfId="0" quotePrefix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shrinkToFit="1"/>
    </xf>
    <xf numFmtId="0" fontId="12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1" fillId="0" borderId="0" xfId="0" quotePrefix="1" applyNumberFormat="1" applyFont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3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shrinkToFit="1"/>
    </xf>
    <xf numFmtId="0" fontId="5" fillId="2" borderId="0" xfId="0" applyFont="1" applyFill="1" applyBorder="1" applyAlignment="1" applyProtection="1"/>
    <xf numFmtId="167" fontId="0" fillId="0" borderId="0" xfId="0" applyNumberFormat="1" applyFont="1" applyAlignment="1" applyProtection="1">
      <alignment horizontal="center" shrinkToFit="1"/>
    </xf>
    <xf numFmtId="0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1" fontId="0" fillId="0" borderId="7" xfId="0" applyNumberFormat="1" applyFont="1" applyBorder="1" applyAlignment="1" applyProtection="1">
      <alignment horizontal="center"/>
    </xf>
    <xf numFmtId="0" fontId="0" fillId="2" borderId="7" xfId="0" applyNumberFormat="1" applyFill="1" applyBorder="1" applyAlignment="1" applyProtection="1">
      <alignment horizontal="center"/>
    </xf>
    <xf numFmtId="0" fontId="1" fillId="2" borderId="7" xfId="0" applyNumberFormat="1" applyFont="1" applyFill="1" applyBorder="1" applyAlignment="1" applyProtection="1">
      <alignment horizontal="right"/>
    </xf>
    <xf numFmtId="0" fontId="0" fillId="2" borderId="0" xfId="0" applyNumberFormat="1" applyFill="1" applyBorder="1" applyAlignment="1" applyProtection="1">
      <alignment horizontal="center"/>
    </xf>
    <xf numFmtId="168" fontId="9" fillId="0" borderId="0" xfId="0" applyNumberFormat="1" applyFont="1" applyFill="1" applyBorder="1" applyAlignment="1" applyProtection="1">
      <alignment horizontal="left" shrinkToFit="1"/>
      <protection locked="0"/>
    </xf>
    <xf numFmtId="0" fontId="0" fillId="2" borderId="0" xfId="0" applyFill="1" applyBorder="1" applyAlignment="1" applyProtection="1"/>
    <xf numFmtId="0" fontId="9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Border="1" applyAlignment="1" applyProtection="1">
      <alignment horizontal="center"/>
    </xf>
    <xf numFmtId="0" fontId="0" fillId="0" borderId="0" xfId="0" applyFill="1" applyAlignment="1" applyProtection="1">
      <protection locked="0"/>
    </xf>
    <xf numFmtId="0" fontId="12" fillId="0" borderId="0" xfId="0" applyFont="1" applyBorder="1"/>
    <xf numFmtId="0" fontId="11" fillId="0" borderId="0" xfId="0" quotePrefix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 shrinkToFit="1"/>
    </xf>
    <xf numFmtId="0" fontId="1" fillId="2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Border="1" applyAlignment="1" applyProtection="1">
      <alignment horizontal="center"/>
      <protection locked="0"/>
    </xf>
    <xf numFmtId="0" fontId="0" fillId="2" borderId="0" xfId="0" quotePrefix="1" applyNumberFormat="1" applyFill="1" applyBorder="1" applyAlignment="1" applyProtection="1">
      <alignment horizontal="center"/>
    </xf>
    <xf numFmtId="0" fontId="0" fillId="0" borderId="0" xfId="0" applyFill="1" applyBorder="1"/>
    <xf numFmtId="0" fontId="1" fillId="2" borderId="0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14" fontId="1" fillId="2" borderId="2" xfId="0" applyNumberFormat="1" applyFont="1" applyFill="1" applyBorder="1" applyAlignment="1" applyProtection="1">
      <alignment horizontal="center"/>
    </xf>
    <xf numFmtId="14" fontId="1" fillId="2" borderId="0" xfId="0" applyNumberFormat="1" applyFont="1" applyFill="1" applyBorder="1" applyAlignment="1" applyProtection="1">
      <alignment horizontal="center"/>
    </xf>
    <xf numFmtId="14" fontId="1" fillId="2" borderId="2" xfId="0" applyNumberFormat="1" applyFont="1" applyFill="1" applyBorder="1" applyAlignment="1" applyProtection="1">
      <alignment horizontal="center"/>
    </xf>
    <xf numFmtId="14" fontId="1" fillId="2" borderId="0" xfId="0" applyNumberFormat="1" applyFont="1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4" fontId="0" fillId="2" borderId="0" xfId="0" applyNumberFormat="1" applyFont="1" applyFill="1" applyBorder="1" applyAlignment="1" applyProtection="1">
      <alignment horizontal="center"/>
    </xf>
    <xf numFmtId="164" fontId="1" fillId="2" borderId="2" xfId="0" applyNumberFormat="1" applyFont="1" applyFill="1" applyBorder="1" applyAlignment="1" applyProtection="1">
      <alignment horizontal="center"/>
    </xf>
    <xf numFmtId="164" fontId="0" fillId="2" borderId="2" xfId="0" applyNumberFormat="1" applyFill="1" applyBorder="1" applyAlignment="1" applyProtection="1">
      <alignment horizontal="center"/>
    </xf>
    <xf numFmtId="14" fontId="0" fillId="0" borderId="0" xfId="0" applyNumberFormat="1" applyFont="1" applyAlignment="1" applyProtection="1">
      <alignment horizontal="center"/>
      <protection locked="0"/>
    </xf>
    <xf numFmtId="0" fontId="1" fillId="10" borderId="0" xfId="0" applyFont="1" applyFill="1" applyAlignment="1" applyProtection="1">
      <alignment horizontal="right"/>
    </xf>
    <xf numFmtId="14" fontId="0" fillId="0" borderId="0" xfId="0" applyNumberFormat="1" applyAlignment="1" applyProtection="1">
      <alignment horizontal="center"/>
      <protection locked="0"/>
    </xf>
    <xf numFmtId="0" fontId="1" fillId="10" borderId="0" xfId="0" applyFont="1" applyFill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3" xfId="0" applyFont="1" applyFill="1" applyBorder="1" applyAlignment="1" applyProtection="1">
      <alignment horizontal="left"/>
      <protection locked="0"/>
    </xf>
    <xf numFmtId="0" fontId="1" fillId="2" borderId="2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14" fontId="1" fillId="2" borderId="2" xfId="0" applyNumberFormat="1" applyFont="1" applyFill="1" applyBorder="1" applyAlignment="1" applyProtection="1">
      <alignment horizontal="center"/>
    </xf>
    <xf numFmtId="14" fontId="1" fillId="2" borderId="0" xfId="0" applyNumberFormat="1" applyFont="1" applyFill="1" applyBorder="1" applyAlignment="1" applyProtection="1">
      <alignment horizontal="center"/>
    </xf>
    <xf numFmtId="14" fontId="1" fillId="2" borderId="1" xfId="0" applyNumberFormat="1" applyFont="1" applyFill="1" applyBorder="1" applyAlignment="1" applyProtection="1">
      <alignment horizontal="center"/>
    </xf>
    <xf numFmtId="14" fontId="1" fillId="2" borderId="2" xfId="0" applyNumberFormat="1" applyFont="1" applyFill="1" applyBorder="1" applyAlignment="1" applyProtection="1">
      <alignment horizontal="center" wrapText="1"/>
    </xf>
    <xf numFmtId="14" fontId="1" fillId="2" borderId="0" xfId="0" applyNumberFormat="1" applyFont="1" applyFill="1" applyBorder="1" applyAlignment="1" applyProtection="1">
      <alignment horizontal="center" wrapText="1"/>
    </xf>
    <xf numFmtId="14" fontId="1" fillId="2" borderId="1" xfId="0" applyNumberFormat="1" applyFont="1" applyFill="1" applyBorder="1" applyAlignment="1" applyProtection="1">
      <alignment horizontal="center" wrapText="1"/>
    </xf>
    <xf numFmtId="0" fontId="16" fillId="2" borderId="0" xfId="0" applyFont="1" applyFill="1" applyBorder="1" applyAlignment="1" applyProtection="1">
      <alignment horizontal="center"/>
    </xf>
    <xf numFmtId="164" fontId="1" fillId="2" borderId="2" xfId="0" applyNumberFormat="1" applyFont="1" applyFill="1" applyBorder="1" applyAlignment="1" applyProtection="1">
      <alignment horizontal="center"/>
    </xf>
    <xf numFmtId="164" fontId="1" fillId="2" borderId="0" xfId="0" applyNumberFormat="1" applyFont="1" applyFill="1" applyBorder="1" applyAlignment="1" applyProtection="1">
      <alignment horizontal="center"/>
    </xf>
    <xf numFmtId="164" fontId="1" fillId="2" borderId="1" xfId="0" applyNumberFormat="1" applyFont="1" applyFill="1" applyBorder="1" applyAlignment="1" applyProtection="1">
      <alignment horizontal="center"/>
    </xf>
    <xf numFmtId="0" fontId="11" fillId="6" borderId="5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0" fontId="11" fillId="6" borderId="6" xfId="0" applyFont="1" applyFill="1" applyBorder="1" applyAlignment="1">
      <alignment horizontal="left" vertical="center"/>
    </xf>
    <xf numFmtId="0" fontId="11" fillId="6" borderId="5" xfId="0" applyFont="1" applyFill="1" applyBorder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center"/>
    </xf>
    <xf numFmtId="165" fontId="11" fillId="6" borderId="5" xfId="0" applyNumberFormat="1" applyFont="1" applyFill="1" applyBorder="1" applyAlignment="1">
      <alignment horizontal="left" vertical="center"/>
    </xf>
    <xf numFmtId="165" fontId="11" fillId="6" borderId="4" xfId="0" applyNumberFormat="1" applyFont="1" applyFill="1" applyBorder="1" applyAlignment="1">
      <alignment horizontal="left" vertical="center"/>
    </xf>
    <xf numFmtId="165" fontId="11" fillId="6" borderId="6" xfId="0" applyNumberFormat="1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52"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ill>
        <patternFill>
          <bgColor theme="4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rgb="FF00B050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b val="0"/>
        <i val="0"/>
      </font>
      <fill>
        <patternFill>
          <bgColor rgb="FF00B050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theme="4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4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b val="0"/>
        <i val="0"/>
      </font>
      <fill>
        <patternFill>
          <bgColor rgb="FF00B050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1"/>
      <tableStyleElement type="headerRow" dxfId="5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5.emf"/><Relationship Id="rId18" Type="http://schemas.openxmlformats.org/officeDocument/2006/relationships/image" Target="../media/image18.emf"/><Relationship Id="rId3" Type="http://schemas.openxmlformats.org/officeDocument/2006/relationships/image" Target="../media/image10.emf"/><Relationship Id="rId21" Type="http://schemas.openxmlformats.org/officeDocument/2006/relationships/image" Target="../media/image21.emf"/><Relationship Id="rId7" Type="http://schemas.openxmlformats.org/officeDocument/2006/relationships/image" Target="../media/image14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2.emf"/><Relationship Id="rId16" Type="http://schemas.openxmlformats.org/officeDocument/2006/relationships/image" Target="../media/image2.emf"/><Relationship Id="rId20" Type="http://schemas.openxmlformats.org/officeDocument/2006/relationships/image" Target="../media/image20.emf"/><Relationship Id="rId1" Type="http://schemas.openxmlformats.org/officeDocument/2006/relationships/image" Target="../media/image11.emf"/><Relationship Id="rId6" Type="http://schemas.openxmlformats.org/officeDocument/2006/relationships/image" Target="../media/image13.emf"/><Relationship Id="rId11" Type="http://schemas.openxmlformats.org/officeDocument/2006/relationships/image" Target="../media/image17.emf"/><Relationship Id="rId24" Type="http://schemas.openxmlformats.org/officeDocument/2006/relationships/image" Target="../media/image24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23" Type="http://schemas.openxmlformats.org/officeDocument/2006/relationships/image" Target="../media/image23.emf"/><Relationship Id="rId10" Type="http://schemas.openxmlformats.org/officeDocument/2006/relationships/image" Target="../media/image7.emf"/><Relationship Id="rId19" Type="http://schemas.openxmlformats.org/officeDocument/2006/relationships/image" Target="../media/image19.emf"/><Relationship Id="rId4" Type="http://schemas.openxmlformats.org/officeDocument/2006/relationships/image" Target="../media/image9.emf"/><Relationship Id="rId9" Type="http://schemas.openxmlformats.org/officeDocument/2006/relationships/image" Target="../media/image16.emf"/><Relationship Id="rId14" Type="http://schemas.openxmlformats.org/officeDocument/2006/relationships/image" Target="../media/image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114300</xdr:rowOff>
        </xdr:from>
        <xdr:to>
          <xdr:col>1</xdr:col>
          <xdr:colOff>647700</xdr:colOff>
          <xdr:row>4</xdr:row>
          <xdr:rowOff>171450</xdr:rowOff>
        </xdr:to>
        <xdr:sp macro="" textlink="">
          <xdr:nvSpPr>
            <xdr:cNvPr id="1027" name="cmdRequestBilling" descr="Request Billin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266700</xdr:colOff>
          <xdr:row>0</xdr:row>
          <xdr:rowOff>57150</xdr:rowOff>
        </xdr:from>
        <xdr:to>
          <xdr:col>15</xdr:col>
          <xdr:colOff>600075</xdr:colOff>
          <xdr:row>1</xdr:row>
          <xdr:rowOff>66675</xdr:rowOff>
        </xdr:to>
        <xdr:sp macro="" textlink="">
          <xdr:nvSpPr>
            <xdr:cNvPr id="1038" name="cbxBillatFrame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9525</xdr:rowOff>
        </xdr:from>
        <xdr:to>
          <xdr:col>8</xdr:col>
          <xdr:colOff>161925</xdr:colOff>
          <xdr:row>2</xdr:row>
          <xdr:rowOff>47625</xdr:rowOff>
        </xdr:to>
        <xdr:sp macro="" textlink="">
          <xdr:nvSpPr>
            <xdr:cNvPr id="1045" name="cbxE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</xdr:row>
          <xdr:rowOff>38100</xdr:rowOff>
        </xdr:from>
        <xdr:to>
          <xdr:col>8</xdr:col>
          <xdr:colOff>161925</xdr:colOff>
          <xdr:row>3</xdr:row>
          <xdr:rowOff>76200</xdr:rowOff>
        </xdr:to>
        <xdr:sp macro="" textlink="">
          <xdr:nvSpPr>
            <xdr:cNvPr id="1047" name="cbxBIG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1</xdr:row>
          <xdr:rowOff>9525</xdr:rowOff>
        </xdr:from>
        <xdr:to>
          <xdr:col>9</xdr:col>
          <xdr:colOff>304800</xdr:colOff>
          <xdr:row>2</xdr:row>
          <xdr:rowOff>47625</xdr:rowOff>
        </xdr:to>
        <xdr:sp macro="" textlink="">
          <xdr:nvSpPr>
            <xdr:cNvPr id="1048" name="cbxCAHP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0</xdr:row>
          <xdr:rowOff>76200</xdr:rowOff>
        </xdr:from>
        <xdr:to>
          <xdr:col>11</xdr:col>
          <xdr:colOff>161925</xdr:colOff>
          <xdr:row>1</xdr:row>
          <xdr:rowOff>114300</xdr:rowOff>
        </xdr:to>
        <xdr:sp macro="" textlink="">
          <xdr:nvSpPr>
            <xdr:cNvPr id="1055" name="cbxRCM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</xdr:row>
          <xdr:rowOff>123825</xdr:rowOff>
        </xdr:from>
        <xdr:to>
          <xdr:col>10</xdr:col>
          <xdr:colOff>200025</xdr:colOff>
          <xdr:row>2</xdr:row>
          <xdr:rowOff>161925</xdr:rowOff>
        </xdr:to>
        <xdr:sp macro="" textlink="">
          <xdr:nvSpPr>
            <xdr:cNvPr id="1056" name="cbxBD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0</xdr:row>
          <xdr:rowOff>76200</xdr:rowOff>
        </xdr:from>
        <xdr:to>
          <xdr:col>10</xdr:col>
          <xdr:colOff>200025</xdr:colOff>
          <xdr:row>1</xdr:row>
          <xdr:rowOff>114300</xdr:rowOff>
        </xdr:to>
        <xdr:sp macro="" textlink="">
          <xdr:nvSpPr>
            <xdr:cNvPr id="1057" name="cbxQII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2</xdr:row>
          <xdr:rowOff>171450</xdr:rowOff>
        </xdr:from>
        <xdr:to>
          <xdr:col>11</xdr:col>
          <xdr:colOff>161925</xdr:colOff>
          <xdr:row>4</xdr:row>
          <xdr:rowOff>19050</xdr:rowOff>
        </xdr:to>
        <xdr:sp macro="" textlink="">
          <xdr:nvSpPr>
            <xdr:cNvPr id="1061" name="cbxLLDIC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66675</xdr:colOff>
          <xdr:row>0</xdr:row>
          <xdr:rowOff>66675</xdr:rowOff>
        </xdr:from>
        <xdr:to>
          <xdr:col>53</xdr:col>
          <xdr:colOff>704850</xdr:colOff>
          <xdr:row>2</xdr:row>
          <xdr:rowOff>171450</xdr:rowOff>
        </xdr:to>
        <xdr:sp macro="" textlink="">
          <xdr:nvSpPr>
            <xdr:cNvPr id="1063" name="CmdGetCF2R" descr="Request Billing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114300</xdr:rowOff>
        </xdr:from>
        <xdr:to>
          <xdr:col>3</xdr:col>
          <xdr:colOff>9525</xdr:colOff>
          <xdr:row>3</xdr:row>
          <xdr:rowOff>38100</xdr:rowOff>
        </xdr:to>
        <xdr:sp macro="" textlink="">
          <xdr:nvSpPr>
            <xdr:cNvPr id="1071" name="Group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Registry Info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114300</xdr:rowOff>
        </xdr:from>
        <xdr:to>
          <xdr:col>3</xdr:col>
          <xdr:colOff>19050</xdr:colOff>
          <xdr:row>4</xdr:row>
          <xdr:rowOff>171450</xdr:rowOff>
        </xdr:to>
        <xdr:sp macro="" textlink="">
          <xdr:nvSpPr>
            <xdr:cNvPr id="1073" name="cmdPaperwork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209550</xdr:colOff>
          <xdr:row>1</xdr:row>
          <xdr:rowOff>123825</xdr:rowOff>
        </xdr:from>
        <xdr:to>
          <xdr:col>11</xdr:col>
          <xdr:colOff>161925</xdr:colOff>
          <xdr:row>2</xdr:row>
          <xdr:rowOff>161925</xdr:rowOff>
        </xdr:to>
        <xdr:sp macro="" textlink="">
          <xdr:nvSpPr>
            <xdr:cNvPr id="1075" name="cbxLLAH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2</xdr:row>
          <xdr:rowOff>38100</xdr:rowOff>
        </xdr:from>
        <xdr:to>
          <xdr:col>9</xdr:col>
          <xdr:colOff>304800</xdr:colOff>
          <xdr:row>3</xdr:row>
          <xdr:rowOff>76200</xdr:rowOff>
        </xdr:to>
        <xdr:sp macro="" textlink="">
          <xdr:nvSpPr>
            <xdr:cNvPr id="1079" name="cbxLEED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104775</xdr:rowOff>
        </xdr:from>
        <xdr:to>
          <xdr:col>9</xdr:col>
          <xdr:colOff>323850</xdr:colOff>
          <xdr:row>3</xdr:row>
          <xdr:rowOff>123825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Programs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0</xdr:row>
          <xdr:rowOff>76200</xdr:rowOff>
        </xdr:from>
        <xdr:to>
          <xdr:col>12</xdr:col>
          <xdr:colOff>333375</xdr:colOff>
          <xdr:row>1</xdr:row>
          <xdr:rowOff>114300</xdr:rowOff>
        </xdr:to>
        <xdr:sp macro="" textlink="">
          <xdr:nvSpPr>
            <xdr:cNvPr id="1081" name="cbxVerDD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2</xdr:row>
          <xdr:rowOff>171450</xdr:rowOff>
        </xdr:from>
        <xdr:to>
          <xdr:col>12</xdr:col>
          <xdr:colOff>333375</xdr:colOff>
          <xdr:row>4</xdr:row>
          <xdr:rowOff>19050</xdr:rowOff>
        </xdr:to>
        <xdr:sp macro="" textlink="">
          <xdr:nvSpPr>
            <xdr:cNvPr id="1082" name="cbxDeepDD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123825</xdr:rowOff>
        </xdr:from>
        <xdr:to>
          <xdr:col>12</xdr:col>
          <xdr:colOff>333375</xdr:colOff>
          <xdr:row>2</xdr:row>
          <xdr:rowOff>161925</xdr:rowOff>
        </xdr:to>
        <xdr:sp macro="" textlink="">
          <xdr:nvSpPr>
            <xdr:cNvPr id="1083" name="cbxBurDD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2</xdr:row>
          <xdr:rowOff>171450</xdr:rowOff>
        </xdr:from>
        <xdr:to>
          <xdr:col>10</xdr:col>
          <xdr:colOff>200025</xdr:colOff>
          <xdr:row>4</xdr:row>
          <xdr:rowOff>19050</xdr:rowOff>
        </xdr:to>
        <xdr:sp macro="" textlink="">
          <xdr:nvSpPr>
            <xdr:cNvPr id="1084" name="cbxDHW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76200</xdr:colOff>
          <xdr:row>2</xdr:row>
          <xdr:rowOff>171450</xdr:rowOff>
        </xdr:from>
        <xdr:to>
          <xdr:col>53</xdr:col>
          <xdr:colOff>714375</xdr:colOff>
          <xdr:row>5</xdr:row>
          <xdr:rowOff>85725</xdr:rowOff>
        </xdr:to>
        <xdr:sp macro="" textlink="">
          <xdr:nvSpPr>
            <xdr:cNvPr id="1088" name="CmdSignOff" descr="Request Billing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0</xdr:colOff>
          <xdr:row>0</xdr:row>
          <xdr:rowOff>19050</xdr:rowOff>
        </xdr:from>
        <xdr:to>
          <xdr:col>48</xdr:col>
          <xdr:colOff>66675</xdr:colOff>
          <xdr:row>1</xdr:row>
          <xdr:rowOff>28575</xdr:rowOff>
        </xdr:to>
        <xdr:sp macro="" textlink="">
          <xdr:nvSpPr>
            <xdr:cNvPr id="1089" name="cbxHVAC100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0</xdr:row>
          <xdr:rowOff>0</xdr:rowOff>
        </xdr:from>
        <xdr:to>
          <xdr:col>39</xdr:col>
          <xdr:colOff>323850</xdr:colOff>
          <xdr:row>1</xdr:row>
          <xdr:rowOff>0</xdr:rowOff>
        </xdr:to>
        <xdr:sp macro="" textlink="">
          <xdr:nvSpPr>
            <xdr:cNvPr id="1091" name="cbxInsul10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180975</xdr:colOff>
          <xdr:row>0</xdr:row>
          <xdr:rowOff>19050</xdr:rowOff>
        </xdr:from>
        <xdr:to>
          <xdr:col>38</xdr:col>
          <xdr:colOff>314325</xdr:colOff>
          <xdr:row>1</xdr:row>
          <xdr:rowOff>19050</xdr:rowOff>
        </xdr:to>
        <xdr:sp macro="" textlink="">
          <xdr:nvSpPr>
            <xdr:cNvPr id="1092" name="cbxBD100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76200</xdr:colOff>
          <xdr:row>0</xdr:row>
          <xdr:rowOff>57150</xdr:rowOff>
        </xdr:from>
        <xdr:to>
          <xdr:col>60</xdr:col>
          <xdr:colOff>161925</xdr:colOff>
          <xdr:row>1</xdr:row>
          <xdr:rowOff>66675</xdr:rowOff>
        </xdr:to>
        <xdr:sp macro="" textlink="">
          <xdr:nvSpPr>
            <xdr:cNvPr id="1095" name="cbxSolar100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0</xdr:row>
          <xdr:rowOff>19050</xdr:rowOff>
        </xdr:from>
        <xdr:to>
          <xdr:col>12</xdr:col>
          <xdr:colOff>381000</xdr:colOff>
          <xdr:row>4</xdr:row>
          <xdr:rowOff>19050</xdr:rowOff>
        </xdr:to>
        <xdr:sp macro="" textlink="">
          <xdr:nvSpPr>
            <xdr:cNvPr id="1097" name="Group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HERS Testing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66675</xdr:rowOff>
        </xdr:from>
        <xdr:to>
          <xdr:col>13</xdr:col>
          <xdr:colOff>638175</xdr:colOff>
          <xdr:row>1</xdr:row>
          <xdr:rowOff>123825</xdr:rowOff>
        </xdr:to>
        <xdr:sp macro="" textlink="">
          <xdr:nvSpPr>
            <xdr:cNvPr id="1101" name="cmdFreeze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552450</xdr:colOff>
          <xdr:row>0</xdr:row>
          <xdr:rowOff>47625</xdr:rowOff>
        </xdr:from>
        <xdr:to>
          <xdr:col>66</xdr:col>
          <xdr:colOff>581025</xdr:colOff>
          <xdr:row>2</xdr:row>
          <xdr:rowOff>152400</xdr:rowOff>
        </xdr:to>
        <xdr:sp macro="" textlink="">
          <xdr:nvSpPr>
            <xdr:cNvPr id="1104" name="CmdGetPV" descr="Request Billing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-Resources/Rater%20Equipment%20Lo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er Equipment List"/>
      <sheetName val="Sheet2"/>
      <sheetName val="Sheet3"/>
    </sheetNames>
    <sheetDataSet>
      <sheetData sheetId="0">
        <row r="2">
          <cell r="A2" t="str">
            <v>Tony Souza</v>
          </cell>
          <cell r="B2" t="str">
            <v>Energy Conservatory</v>
          </cell>
          <cell r="C2" t="str">
            <v xml:space="preserve">DG700 </v>
          </cell>
          <cell r="D2" t="str">
            <v>28270-7-700</v>
          </cell>
          <cell r="E2" t="str">
            <v>Accubalance</v>
          </cell>
          <cell r="F2">
            <v>8371</v>
          </cell>
          <cell r="G2">
            <v>71215590</v>
          </cell>
          <cell r="H2" t="str">
            <v>Energy Conservatory</v>
          </cell>
          <cell r="I2" t="str">
            <v>TruFlo</v>
          </cell>
          <cell r="J2" t="str">
            <v>14-1625</v>
          </cell>
          <cell r="K2" t="str">
            <v>Energy Conservatory</v>
          </cell>
          <cell r="L2" t="str">
            <v>BD3</v>
          </cell>
          <cell r="M2">
            <v>12619</v>
          </cell>
          <cell r="N2" t="str">
            <v>Field Piece / iManifold</v>
          </cell>
          <cell r="O2" t="str">
            <v>sman3 / 900M</v>
          </cell>
          <cell r="P2" t="str">
            <v>12008408 / A10695</v>
          </cell>
        </row>
        <row r="3">
          <cell r="A3" t="str">
            <v>Alex Gonzalez</v>
          </cell>
          <cell r="B3" t="str">
            <v>Energy Conservatory</v>
          </cell>
          <cell r="C3" t="str">
            <v xml:space="preserve">DG700 </v>
          </cell>
          <cell r="D3" t="str">
            <v>4494-7-700</v>
          </cell>
          <cell r="E3" t="str">
            <v>Accubalance</v>
          </cell>
          <cell r="F3">
            <v>8371</v>
          </cell>
          <cell r="G3">
            <v>70936018</v>
          </cell>
          <cell r="H3" t="str">
            <v>Energy Conservatory</v>
          </cell>
          <cell r="I3" t="str">
            <v>TruFlo</v>
          </cell>
          <cell r="J3" t="str">
            <v>20-2587 / 14-2592</v>
          </cell>
          <cell r="K3" t="str">
            <v>Energy Conservatory</v>
          </cell>
          <cell r="L3" t="str">
            <v>BD3</v>
          </cell>
          <cell r="M3">
            <v>12786</v>
          </cell>
          <cell r="N3" t="str">
            <v>Field Piece</v>
          </cell>
          <cell r="O3" t="str">
            <v>sman2 sman3</v>
          </cell>
          <cell r="P3">
            <v>11023855</v>
          </cell>
        </row>
        <row r="4">
          <cell r="A4" t="str">
            <v>Sean O'Day</v>
          </cell>
          <cell r="B4" t="str">
            <v>Energy Conservatory</v>
          </cell>
          <cell r="C4" t="str">
            <v xml:space="preserve">DG700 </v>
          </cell>
          <cell r="D4" t="str">
            <v>6795-4-700</v>
          </cell>
          <cell r="E4" t="str">
            <v>KanoMax</v>
          </cell>
          <cell r="F4">
            <v>6710</v>
          </cell>
          <cell r="G4">
            <v>10130</v>
          </cell>
          <cell r="H4" t="str">
            <v>Energy Conservatory</v>
          </cell>
          <cell r="I4" t="str">
            <v>TruFlo</v>
          </cell>
          <cell r="J4" t="str">
            <v>14-1626 / 20-1643</v>
          </cell>
          <cell r="K4" t="str">
            <v>Energy Conservatory</v>
          </cell>
          <cell r="L4" t="str">
            <v>BD3</v>
          </cell>
          <cell r="M4">
            <v>28038</v>
          </cell>
          <cell r="N4" t="str">
            <v>Field Piece / iManifold</v>
          </cell>
          <cell r="O4" t="str">
            <v>sman2 / 900M</v>
          </cell>
          <cell r="P4" t="str">
            <v>A11913 / 12001856</v>
          </cell>
        </row>
        <row r="5">
          <cell r="A5" t="str">
            <v>Sam Maimone</v>
          </cell>
          <cell r="B5" t="str">
            <v>Energy Conservatory</v>
          </cell>
          <cell r="C5" t="str">
            <v xml:space="preserve">DG700 </v>
          </cell>
          <cell r="D5" t="str">
            <v>4779-5-700</v>
          </cell>
          <cell r="E5" t="str">
            <v>KanoMax</v>
          </cell>
          <cell r="F5">
            <v>6710</v>
          </cell>
          <cell r="G5">
            <v>10257</v>
          </cell>
          <cell r="H5" t="str">
            <v>Energy Conservatory</v>
          </cell>
          <cell r="I5" t="str">
            <v>TruFlo</v>
          </cell>
          <cell r="J5" t="str">
            <v>612-827-1117</v>
          </cell>
          <cell r="K5" t="str">
            <v>Energy Conservatory</v>
          </cell>
          <cell r="L5" t="str">
            <v>BD3</v>
          </cell>
          <cell r="M5">
            <v>27651</v>
          </cell>
          <cell r="N5" t="str">
            <v>Field Piece</v>
          </cell>
          <cell r="O5" t="str">
            <v>sman3</v>
          </cell>
          <cell r="P5">
            <v>11009591</v>
          </cell>
        </row>
        <row r="6">
          <cell r="A6" t="str">
            <v>Jason Samaniego</v>
          </cell>
          <cell r="B6" t="str">
            <v>Energy Conservatory</v>
          </cell>
          <cell r="C6" t="str">
            <v xml:space="preserve">DG700 </v>
          </cell>
          <cell r="D6" t="str">
            <v>415-4-700</v>
          </cell>
          <cell r="E6" t="str">
            <v>KanoMax</v>
          </cell>
          <cell r="F6">
            <v>6710</v>
          </cell>
          <cell r="G6">
            <v>10140</v>
          </cell>
          <cell r="H6" t="str">
            <v>Energy Conservatory</v>
          </cell>
          <cell r="I6" t="str">
            <v>TruFlo</v>
          </cell>
          <cell r="J6" t="str">
            <v>14-2473 / 20-2468</v>
          </cell>
          <cell r="K6" t="str">
            <v>Energy Conservatory</v>
          </cell>
          <cell r="L6" t="str">
            <v>BD3</v>
          </cell>
          <cell r="M6">
            <v>29147</v>
          </cell>
          <cell r="N6" t="str">
            <v>Field Piece</v>
          </cell>
          <cell r="O6" t="str">
            <v>sman3</v>
          </cell>
          <cell r="P6">
            <v>11025972</v>
          </cell>
        </row>
        <row r="7">
          <cell r="A7" t="str">
            <v>Steve Blasé</v>
          </cell>
          <cell r="B7" t="str">
            <v>Energy Conservatory</v>
          </cell>
          <cell r="C7" t="str">
            <v xml:space="preserve">DG700 </v>
          </cell>
          <cell r="D7" t="str">
            <v>39127-7-700</v>
          </cell>
          <cell r="E7" t="str">
            <v>KanoMax</v>
          </cell>
          <cell r="F7">
            <v>6710</v>
          </cell>
          <cell r="G7">
            <v>10128</v>
          </cell>
          <cell r="H7" t="str">
            <v>Energy Conservatory</v>
          </cell>
          <cell r="I7" t="str">
            <v>TruFlo</v>
          </cell>
          <cell r="J7" t="str">
            <v>20-2835 / 14-2806</v>
          </cell>
          <cell r="K7" t="str">
            <v>Energy Conservatory</v>
          </cell>
          <cell r="L7" t="str">
            <v>BD3</v>
          </cell>
          <cell r="M7">
            <v>17747</v>
          </cell>
          <cell r="N7" t="str">
            <v>Imperial iManifold</v>
          </cell>
          <cell r="O7" t="str">
            <v>900M</v>
          </cell>
          <cell r="P7" t="str">
            <v>A10200</v>
          </cell>
        </row>
        <row r="8">
          <cell r="A8" t="str">
            <v>Gabe Lopez</v>
          </cell>
          <cell r="B8" t="str">
            <v>Energy Conservatory</v>
          </cell>
          <cell r="C8" t="str">
            <v xml:space="preserve">DG700 </v>
          </cell>
          <cell r="D8" t="str">
            <v>33207-7-700</v>
          </cell>
          <cell r="E8" t="str">
            <v>KanoMax</v>
          </cell>
          <cell r="F8">
            <v>6710</v>
          </cell>
          <cell r="G8">
            <v>10137</v>
          </cell>
          <cell r="H8" t="str">
            <v>Energy Conservatory</v>
          </cell>
          <cell r="I8" t="str">
            <v>TruFlo</v>
          </cell>
          <cell r="J8" t="str">
            <v>20-2325</v>
          </cell>
          <cell r="K8" t="str">
            <v>Energy Conservatory</v>
          </cell>
          <cell r="L8" t="str">
            <v>BD3</v>
          </cell>
          <cell r="M8">
            <v>27899</v>
          </cell>
          <cell r="N8" t="str">
            <v>Imperial iManifold</v>
          </cell>
          <cell r="O8" t="str">
            <v>900M</v>
          </cell>
          <cell r="P8" t="str">
            <v>A11514</v>
          </cell>
        </row>
        <row r="9">
          <cell r="A9" t="str">
            <v>Graham Ralfe</v>
          </cell>
          <cell r="B9" t="str">
            <v>Energy Conservatory</v>
          </cell>
          <cell r="C9" t="str">
            <v xml:space="preserve">DG700 </v>
          </cell>
          <cell r="D9" t="str">
            <v>33581-7-700</v>
          </cell>
          <cell r="E9" t="str">
            <v>Shortridge</v>
          </cell>
          <cell r="F9" t="str">
            <v>CFM-88</v>
          </cell>
          <cell r="G9" t="str">
            <v>M97070</v>
          </cell>
          <cell r="H9" t="str">
            <v>Energy Conservatory</v>
          </cell>
          <cell r="I9" t="str">
            <v>TruFlo</v>
          </cell>
          <cell r="J9" t="str">
            <v>20-2345</v>
          </cell>
          <cell r="K9" t="str">
            <v>Energy Conservatory</v>
          </cell>
          <cell r="L9" t="str">
            <v>BD3</v>
          </cell>
          <cell r="M9">
            <v>28091</v>
          </cell>
          <cell r="N9" t="str">
            <v>Fieldpiece</v>
          </cell>
          <cell r="O9" t="str">
            <v>sman2 / sman3</v>
          </cell>
          <cell r="P9">
            <v>11023855</v>
          </cell>
        </row>
        <row r="10">
          <cell r="A10" t="str">
            <v>Harry Williams</v>
          </cell>
          <cell r="B10" t="str">
            <v>Energy Conservatory</v>
          </cell>
          <cell r="C10" t="str">
            <v xml:space="preserve">DG700 </v>
          </cell>
          <cell r="D10" t="str">
            <v>26793-7-700</v>
          </cell>
          <cell r="E10" t="str">
            <v>KanoMax</v>
          </cell>
          <cell r="F10">
            <v>6710</v>
          </cell>
          <cell r="G10">
            <v>10127</v>
          </cell>
          <cell r="H10" t="str">
            <v>Energy Conservatory</v>
          </cell>
          <cell r="I10" t="str">
            <v>TruFlo</v>
          </cell>
          <cell r="J10" t="str">
            <v>20-2407</v>
          </cell>
          <cell r="K10" t="str">
            <v>Energy Conservatory</v>
          </cell>
          <cell r="L10" t="str">
            <v>BD3</v>
          </cell>
          <cell r="M10">
            <v>15382</v>
          </cell>
          <cell r="N10" t="str">
            <v>Imperial iManifold</v>
          </cell>
          <cell r="O10" t="str">
            <v>900M</v>
          </cell>
          <cell r="P10" t="str">
            <v>A10261</v>
          </cell>
        </row>
        <row r="11">
          <cell r="A11" t="str">
            <v>Mark Souza</v>
          </cell>
          <cell r="B11" t="str">
            <v>Energy Conservatory</v>
          </cell>
          <cell r="C11" t="str">
            <v xml:space="preserve">DG700 </v>
          </cell>
          <cell r="D11" t="str">
            <v>38496-7-700</v>
          </cell>
          <cell r="E11" t="str">
            <v>KanoMax</v>
          </cell>
          <cell r="F11">
            <v>6710</v>
          </cell>
          <cell r="G11">
            <v>10141</v>
          </cell>
          <cell r="H11" t="str">
            <v>Energy Conservatory</v>
          </cell>
          <cell r="I11" t="str">
            <v>TruFlo</v>
          </cell>
          <cell r="J11" t="str">
            <v>14-2822 / 20-2855</v>
          </cell>
          <cell r="K11" t="str">
            <v>Energy Conservatory</v>
          </cell>
          <cell r="L11" t="str">
            <v>BD3</v>
          </cell>
          <cell r="M11">
            <v>9915</v>
          </cell>
          <cell r="N11" t="str">
            <v>Field Piece</v>
          </cell>
          <cell r="O11" t="str">
            <v>sman2</v>
          </cell>
          <cell r="P11">
            <v>12000114</v>
          </cell>
        </row>
        <row r="12">
          <cell r="A12" t="str">
            <v>Raymond Espudo</v>
          </cell>
          <cell r="B12" t="str">
            <v>RetroTec</v>
          </cell>
          <cell r="C12" t="str">
            <v>DM-2</v>
          </cell>
          <cell r="D12">
            <v>208314</v>
          </cell>
          <cell r="E12" t="str">
            <v>KanoMax</v>
          </cell>
          <cell r="F12">
            <v>6710</v>
          </cell>
          <cell r="G12">
            <v>10273</v>
          </cell>
          <cell r="H12" t="str">
            <v>Energy Conservatory</v>
          </cell>
          <cell r="I12" t="str">
            <v>TruFlo</v>
          </cell>
          <cell r="J12" t="str">
            <v>1706-5-700</v>
          </cell>
          <cell r="K12" t="str">
            <v>RetroTec</v>
          </cell>
          <cell r="L12" t="str">
            <v>1000F</v>
          </cell>
          <cell r="M12">
            <v>208314</v>
          </cell>
          <cell r="N12" t="str">
            <v>Field Piece</v>
          </cell>
          <cell r="O12" t="str">
            <v>16AIFCLR</v>
          </cell>
          <cell r="P12">
            <v>12000408</v>
          </cell>
        </row>
        <row r="13">
          <cell r="A13" t="str">
            <v>Joe Silva</v>
          </cell>
          <cell r="B13" t="str">
            <v>Energy Conservatory</v>
          </cell>
          <cell r="C13" t="str">
            <v xml:space="preserve">DG700 </v>
          </cell>
          <cell r="D13" t="str">
            <v>7930-5-700</v>
          </cell>
          <cell r="E13" t="str">
            <v>Alnor</v>
          </cell>
          <cell r="F13" t="str">
            <v>EBT721</v>
          </cell>
          <cell r="G13">
            <v>91025001</v>
          </cell>
          <cell r="H13" t="str">
            <v>Energy Conservatory</v>
          </cell>
          <cell r="I13" t="str">
            <v>TruFlo</v>
          </cell>
          <cell r="J13" t="str">
            <v>20-2612</v>
          </cell>
          <cell r="K13" t="str">
            <v>Energy Conservatory</v>
          </cell>
          <cell r="L13" t="str">
            <v>BD3</v>
          </cell>
          <cell r="M13">
            <v>29148</v>
          </cell>
          <cell r="N13" t="str">
            <v>Imperial iManifold</v>
          </cell>
          <cell r="O13" t="str">
            <v>900M</v>
          </cell>
          <cell r="P13" t="str">
            <v>A11155</v>
          </cell>
        </row>
        <row r="14">
          <cell r="A14" t="str">
            <v>Ken Waggoner</v>
          </cell>
          <cell r="B14" t="str">
            <v>Energy Conservatory</v>
          </cell>
          <cell r="C14" t="str">
            <v xml:space="preserve">DG700 </v>
          </cell>
          <cell r="D14" t="str">
            <v>415-4-700</v>
          </cell>
          <cell r="E14" t="str">
            <v>KanoMax</v>
          </cell>
          <cell r="F14">
            <v>6710</v>
          </cell>
          <cell r="G14">
            <v>10140</v>
          </cell>
          <cell r="H14" t="str">
            <v>Energy Conservatory</v>
          </cell>
          <cell r="I14" t="str">
            <v>TruFlo</v>
          </cell>
          <cell r="J14" t="str">
            <v>14-2473 / 20-2468</v>
          </cell>
          <cell r="K14" t="str">
            <v>Energy Conservatory</v>
          </cell>
          <cell r="L14" t="str">
            <v>BD3</v>
          </cell>
          <cell r="M14">
            <v>29147</v>
          </cell>
          <cell r="N14" t="str">
            <v>Field Piece</v>
          </cell>
          <cell r="O14" t="str">
            <v>sman3</v>
          </cell>
          <cell r="P14">
            <v>11025972</v>
          </cell>
        </row>
        <row r="15">
          <cell r="A15" t="str">
            <v>William Barrett</v>
          </cell>
          <cell r="B15" t="str">
            <v>Energy Conservatory</v>
          </cell>
          <cell r="C15" t="str">
            <v xml:space="preserve">DG700 </v>
          </cell>
          <cell r="D15" t="str">
            <v>32043-7-700</v>
          </cell>
          <cell r="E15" t="str">
            <v>KanoMax</v>
          </cell>
          <cell r="F15">
            <v>6710</v>
          </cell>
          <cell r="G15">
            <v>10261</v>
          </cell>
          <cell r="H15" t="str">
            <v>Energy Conservatory</v>
          </cell>
          <cell r="I15" t="str">
            <v>TruFlo</v>
          </cell>
          <cell r="J15" t="str">
            <v>14-1866 / 20-1873</v>
          </cell>
          <cell r="K15" t="str">
            <v>Energy Conservatory</v>
          </cell>
          <cell r="L15" t="str">
            <v>BD3</v>
          </cell>
          <cell r="M15">
            <v>10689</v>
          </cell>
          <cell r="N15" t="str">
            <v>Field Piece</v>
          </cell>
          <cell r="O15" t="str">
            <v>REQ: 04-21</v>
          </cell>
          <cell r="P15" t="str">
            <v>REQ: 04-21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id="1" name="Table1" displayName="Table1" ref="A1:P21" totalsRowShown="0" headerRowDxfId="17" dataDxfId="16">
  <autoFilter ref="A1:P21"/>
  <tableColumns count="16">
    <tableColumn id="1" name="Rater Name" dataDxfId="15"/>
    <tableColumn id="2" name="Manometer Make" dataDxfId="14"/>
    <tableColumn id="3" name="Manometer Model" dataDxfId="13"/>
    <tableColumn id="4" name="Manometer Serial" dataDxfId="12"/>
    <tableColumn id="5" name="Flow Hood Make" dataDxfId="11"/>
    <tableColumn id="6" name="Flow Hood Model" dataDxfId="10"/>
    <tableColumn id="7" name="Flow Hood Serial" dataDxfId="9"/>
    <tableColumn id="8" name="Flow Grid Make" dataDxfId="8"/>
    <tableColumn id="9" name="Flow Grid Model" dataDxfId="7"/>
    <tableColumn id="10" name="Flow Grid Serial" dataDxfId="6"/>
    <tableColumn id="11" name="BD Fan Make" dataDxfId="5"/>
    <tableColumn id="12" name="BD Fan Model" dataDxfId="4"/>
    <tableColumn id="13" name="BD Fan Serial" dataDxfId="3"/>
    <tableColumn id="14" name="RCM Gauge Make" dataDxfId="2"/>
    <tableColumn id="15" name="RCM Gauge Model" dataDxfId="1"/>
    <tableColumn id="16" name="RCM Gauge Seria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\..\..\0-Resources\Rater%20Equipment%20Log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A1:CD100"/>
  <sheetViews>
    <sheetView tabSelected="1" topLeftCell="B1" zoomScaleNormal="100" workbookViewId="0">
      <pane xSplit="12" ySplit="6" topLeftCell="AF7" activePane="bottomRight" state="frozenSplit"/>
      <selection activeCell="B1" sqref="B1"/>
      <selection pane="topRight" activeCell="N1" sqref="N1"/>
      <selection pane="bottomLeft" activeCell="B7" sqref="B7"/>
      <selection pane="bottomRight" activeCell="G7" sqref="G7"/>
    </sheetView>
  </sheetViews>
  <sheetFormatPr defaultColWidth="9.140625" defaultRowHeight="15" x14ac:dyDescent="0.25"/>
  <cols>
    <col min="1" max="1" width="1.5703125" style="18" hidden="1" customWidth="1"/>
    <col min="2" max="2" width="9.85546875" style="18" customWidth="1"/>
    <col min="3" max="3" width="10.7109375" style="18" customWidth="1"/>
    <col min="4" max="4" width="8.42578125" style="18" bestFit="1" customWidth="1"/>
    <col min="5" max="5" width="11" style="18" customWidth="1"/>
    <col min="6" max="6" width="6.7109375" style="5" customWidth="1"/>
    <col min="7" max="7" width="30.7109375" style="28" customWidth="1"/>
    <col min="8" max="8" width="6.7109375" style="18" customWidth="1"/>
    <col min="9" max="9" width="6.42578125" style="18" customWidth="1"/>
    <col min="10" max="10" width="13" style="18" customWidth="1"/>
    <col min="11" max="11" width="9.28515625" style="77" customWidth="1"/>
    <col min="12" max="12" width="7.5703125" style="77" bestFit="1" customWidth="1"/>
    <col min="13" max="13" width="7" style="18" bestFit="1" customWidth="1"/>
    <col min="14" max="14" width="9.7109375" style="95" bestFit="1" customWidth="1"/>
    <col min="15" max="16" width="9.28515625" style="27" customWidth="1"/>
    <col min="17" max="17" width="9.7109375" style="29" hidden="1" customWidth="1"/>
    <col min="18" max="18" width="8.7109375" style="31" hidden="1" customWidth="1"/>
    <col min="19" max="19" width="9.7109375" style="95" bestFit="1" customWidth="1"/>
    <col min="20" max="20" width="8.140625" style="27" bestFit="1" customWidth="1"/>
    <col min="21" max="21" width="10.42578125" style="77" customWidth="1"/>
    <col min="22" max="22" width="9.28515625" style="27" bestFit="1" customWidth="1"/>
    <col min="23" max="23" width="9.7109375" style="30" bestFit="1" customWidth="1"/>
    <col min="24" max="24" width="8.7109375" style="31" customWidth="1"/>
    <col min="25" max="25" width="7.85546875" style="31" bestFit="1" customWidth="1"/>
    <col min="26" max="26" width="26" style="31" customWidth="1"/>
    <col min="27" max="27" width="9.28515625" style="31" hidden="1" customWidth="1"/>
    <col min="28" max="30" width="9.28515625" style="29" hidden="1" customWidth="1"/>
    <col min="31" max="33" width="9.28515625" style="29" customWidth="1"/>
    <col min="34" max="34" width="9.28515625" style="29" hidden="1" customWidth="1"/>
    <col min="35" max="35" width="9.28515625" style="27" hidden="1" customWidth="1"/>
    <col min="36" max="37" width="9.28515625" style="77" hidden="1" customWidth="1"/>
    <col min="38" max="38" width="9.28515625" style="27" hidden="1" customWidth="1"/>
    <col min="39" max="41" width="9.28515625" style="77" customWidth="1"/>
    <col min="42" max="42" width="9.28515625" style="27" customWidth="1"/>
    <col min="43" max="45" width="9.28515625" style="77" customWidth="1"/>
    <col min="46" max="47" width="9.28515625" style="27" customWidth="1"/>
    <col min="48" max="48" width="9.28515625" style="27" hidden="1" customWidth="1"/>
    <col min="49" max="50" width="9.28515625" style="27" customWidth="1"/>
    <col min="51" max="51" width="9.28515625" style="27" hidden="1" customWidth="1"/>
    <col min="52" max="53" width="9.28515625" style="77" hidden="1" customWidth="1"/>
    <col min="54" max="55" width="11.42578125" style="27" customWidth="1"/>
    <col min="56" max="56" width="9.140625" style="18"/>
    <col min="57" max="57" width="4.140625" style="18" customWidth="1"/>
    <col min="58" max="60" width="9.140625" style="18"/>
    <col min="61" max="61" width="10.5703125" style="18" bestFit="1" customWidth="1"/>
    <col min="62" max="67" width="9.140625" style="18"/>
    <col min="68" max="68" width="3.42578125" style="18" customWidth="1"/>
    <col min="69" max="69" width="3.28515625" style="18" customWidth="1"/>
    <col min="70" max="70" width="14.7109375" style="137" bestFit="1" customWidth="1"/>
    <col min="71" max="74" width="14.7109375" style="133" customWidth="1"/>
    <col min="75" max="80" width="10.7109375" style="132" customWidth="1"/>
    <col min="81" max="81" width="17.85546875" style="19" bestFit="1" customWidth="1"/>
    <col min="82" max="16384" width="9.140625" style="18"/>
  </cols>
  <sheetData>
    <row r="1" spans="1:82" s="19" customFormat="1" ht="15" customHeight="1" x14ac:dyDescent="0.25">
      <c r="B1" s="23"/>
      <c r="C1" s="6"/>
      <c r="D1" s="7" t="s">
        <v>33</v>
      </c>
      <c r="E1" s="173" t="s">
        <v>251</v>
      </c>
      <c r="F1" s="174"/>
      <c r="G1" s="174"/>
      <c r="H1" s="8"/>
      <c r="I1" s="8"/>
      <c r="J1" s="9"/>
      <c r="K1" s="9"/>
      <c r="L1" s="10"/>
      <c r="M1" s="6"/>
      <c r="N1" s="94"/>
      <c r="O1" s="10"/>
      <c r="P1" s="10"/>
      <c r="Q1" s="11"/>
      <c r="R1" s="12"/>
      <c r="S1" s="94"/>
      <c r="T1" s="13"/>
      <c r="U1" s="13"/>
      <c r="V1" s="13"/>
      <c r="W1" s="14"/>
      <c r="X1" s="157"/>
      <c r="Y1" s="156"/>
      <c r="Z1" s="157"/>
      <c r="AA1" s="156"/>
      <c r="AB1" s="14"/>
      <c r="AC1" s="14"/>
      <c r="AD1" s="14"/>
      <c r="AE1" s="15"/>
      <c r="AF1" s="164"/>
      <c r="AG1" s="14"/>
      <c r="AH1" s="15"/>
      <c r="AI1" s="16"/>
      <c r="AJ1" s="13"/>
      <c r="AK1" s="13"/>
      <c r="AL1" s="13"/>
      <c r="AM1" s="16"/>
      <c r="AN1" s="13"/>
      <c r="AO1" s="13"/>
      <c r="AP1" s="175"/>
      <c r="AQ1" s="170"/>
      <c r="AR1" s="170"/>
      <c r="AS1" s="170"/>
      <c r="AT1" s="170"/>
      <c r="AU1" s="170"/>
      <c r="AV1" s="170"/>
      <c r="AW1" s="170"/>
      <c r="AX1" s="170"/>
      <c r="AY1" s="136"/>
      <c r="AZ1" s="134"/>
      <c r="BA1" s="136"/>
      <c r="BB1" s="135"/>
      <c r="BC1" s="135"/>
      <c r="BD1" s="135"/>
      <c r="BE1" s="96"/>
      <c r="BF1" s="169" t="s">
        <v>127</v>
      </c>
      <c r="BG1" s="169"/>
      <c r="BH1" s="169"/>
      <c r="BI1" s="169"/>
      <c r="BJ1" s="169"/>
      <c r="BK1" s="169"/>
      <c r="BL1" s="169"/>
      <c r="BM1" s="169"/>
      <c r="BN1" s="169"/>
      <c r="BO1" s="169"/>
      <c r="BP1" s="18"/>
      <c r="BR1" s="138" t="s">
        <v>230</v>
      </c>
      <c r="BS1" s="140" t="s">
        <v>155</v>
      </c>
      <c r="BT1" s="140" t="s">
        <v>153</v>
      </c>
      <c r="BU1" s="140" t="s">
        <v>23</v>
      </c>
      <c r="BV1" s="140" t="s">
        <v>156</v>
      </c>
      <c r="BW1" s="140" t="s">
        <v>22</v>
      </c>
      <c r="BX1" s="140" t="s">
        <v>235</v>
      </c>
      <c r="BY1" s="140" t="s">
        <v>236</v>
      </c>
      <c r="BZ1" s="140" t="s">
        <v>237</v>
      </c>
      <c r="CA1" s="140" t="s">
        <v>246</v>
      </c>
      <c r="CB1" s="140" t="s">
        <v>249</v>
      </c>
      <c r="CC1" s="131">
        <f ca="1">TODAY()</f>
        <v>42255</v>
      </c>
    </row>
    <row r="2" spans="1:82" s="19" customFormat="1" ht="15" customHeight="1" x14ac:dyDescent="0.25">
      <c r="B2" s="142" t="s">
        <v>22</v>
      </c>
      <c r="C2" s="13" t="s">
        <v>247</v>
      </c>
      <c r="D2" s="7" t="s">
        <v>45</v>
      </c>
      <c r="E2" s="172" t="s">
        <v>252</v>
      </c>
      <c r="F2" s="171"/>
      <c r="G2" s="171"/>
      <c r="H2" s="8"/>
      <c r="I2" s="8"/>
      <c r="J2" s="20"/>
      <c r="K2" s="20"/>
      <c r="L2" s="10"/>
      <c r="M2" s="6"/>
      <c r="N2" s="94"/>
      <c r="O2" s="10"/>
      <c r="P2" s="10"/>
      <c r="Q2" s="11"/>
      <c r="R2" s="12"/>
      <c r="S2" s="94"/>
      <c r="T2" s="13"/>
      <c r="U2" s="13"/>
      <c r="V2" s="13" t="s">
        <v>9</v>
      </c>
      <c r="W2" s="14"/>
      <c r="X2" s="157"/>
      <c r="Y2" s="156"/>
      <c r="Z2" s="157"/>
      <c r="AA2" s="180" t="s">
        <v>133</v>
      </c>
      <c r="AB2" s="181"/>
      <c r="AC2" s="181"/>
      <c r="AD2" s="181"/>
      <c r="AE2" s="182"/>
      <c r="AF2" s="184" t="s">
        <v>41</v>
      </c>
      <c r="AG2" s="185"/>
      <c r="AH2" s="186"/>
      <c r="AI2" s="175" t="s">
        <v>13</v>
      </c>
      <c r="AJ2" s="170"/>
      <c r="AK2" s="170"/>
      <c r="AL2" s="170"/>
      <c r="AM2" s="155"/>
      <c r="AN2" s="149"/>
      <c r="AO2" s="149"/>
      <c r="AP2" s="175" t="s">
        <v>20</v>
      </c>
      <c r="AQ2" s="170"/>
      <c r="AR2" s="170"/>
      <c r="AS2" s="170"/>
      <c r="AT2" s="170"/>
      <c r="AU2" s="170"/>
      <c r="AV2" s="170"/>
      <c r="AW2" s="170"/>
      <c r="AX2" s="170"/>
      <c r="AY2" s="136"/>
      <c r="AZ2" s="175" t="s">
        <v>14</v>
      </c>
      <c r="BA2" s="176"/>
      <c r="BB2" s="135"/>
      <c r="BC2" s="135"/>
      <c r="BD2" s="135"/>
      <c r="BE2" s="18"/>
      <c r="BF2" s="104"/>
      <c r="BG2" s="167" t="s">
        <v>277</v>
      </c>
      <c r="BH2" s="100"/>
      <c r="BI2" s="101"/>
      <c r="BJ2" s="101" t="s">
        <v>49</v>
      </c>
      <c r="BK2" s="100"/>
      <c r="BL2" s="100"/>
      <c r="BM2" s="99"/>
      <c r="BN2" s="99"/>
      <c r="BO2" s="99"/>
      <c r="BP2" s="18"/>
      <c r="BQ2" s="18"/>
      <c r="BR2" s="138" t="b">
        <v>0</v>
      </c>
      <c r="BS2" s="140" t="b">
        <v>0</v>
      </c>
      <c r="BT2" s="140" t="b">
        <v>0</v>
      </c>
      <c r="BU2" s="140" t="b">
        <v>0</v>
      </c>
      <c r="BV2" s="140" t="b">
        <v>0</v>
      </c>
      <c r="BW2" s="140" t="s">
        <v>43</v>
      </c>
      <c r="BX2" s="140" t="b">
        <v>0</v>
      </c>
      <c r="BY2" s="140" t="b">
        <v>1</v>
      </c>
      <c r="BZ2" s="140" t="b">
        <v>0</v>
      </c>
      <c r="CA2" s="140" t="b">
        <v>1</v>
      </c>
      <c r="CB2" s="140" t="s">
        <v>250</v>
      </c>
      <c r="CC2" s="150" t="s">
        <v>266</v>
      </c>
      <c r="CD2" s="150" t="s">
        <v>248</v>
      </c>
    </row>
    <row r="3" spans="1:82" s="19" customFormat="1" ht="15" customHeight="1" x14ac:dyDescent="0.25">
      <c r="B3" s="142" t="s">
        <v>239</v>
      </c>
      <c r="C3" s="13" t="s">
        <v>240</v>
      </c>
      <c r="D3" s="7" t="s">
        <v>39</v>
      </c>
      <c r="E3" s="171">
        <v>5000</v>
      </c>
      <c r="F3" s="171"/>
      <c r="G3" s="171"/>
      <c r="H3" s="8"/>
      <c r="I3" s="8"/>
      <c r="J3" s="8"/>
      <c r="K3" s="130"/>
      <c r="L3" s="10"/>
      <c r="M3" s="6"/>
      <c r="N3" s="175" t="s">
        <v>44</v>
      </c>
      <c r="O3" s="170"/>
      <c r="P3" s="170"/>
      <c r="Q3" s="170"/>
      <c r="R3" s="176"/>
      <c r="S3" s="94"/>
      <c r="T3" s="13"/>
      <c r="U3" s="53" t="s">
        <v>158</v>
      </c>
      <c r="V3" s="13"/>
      <c r="W3" s="14"/>
      <c r="X3" s="157"/>
      <c r="Y3" s="24" t="s">
        <v>231</v>
      </c>
      <c r="Z3" s="157"/>
      <c r="AA3" s="177"/>
      <c r="AB3" s="178"/>
      <c r="AC3" s="178"/>
      <c r="AD3" s="178"/>
      <c r="AE3" s="179"/>
      <c r="AF3" s="158"/>
      <c r="AG3" s="159"/>
      <c r="AH3" s="15"/>
      <c r="AI3" s="16"/>
      <c r="AJ3" s="13"/>
      <c r="AK3" s="13"/>
      <c r="AL3" s="13"/>
      <c r="AM3" s="16"/>
      <c r="AN3" s="183" t="s">
        <v>245</v>
      </c>
      <c r="AO3" s="183"/>
      <c r="AP3" s="175"/>
      <c r="AQ3" s="170"/>
      <c r="AR3" s="170"/>
      <c r="AS3" s="170"/>
      <c r="AT3" s="170"/>
      <c r="AU3" s="170"/>
      <c r="AV3" s="170"/>
      <c r="AW3" s="170"/>
      <c r="AX3" s="170"/>
      <c r="AY3" s="136"/>
      <c r="AZ3" s="134"/>
      <c r="BA3" s="136"/>
      <c r="BB3" s="135"/>
      <c r="BC3" s="135"/>
      <c r="BD3" s="135"/>
      <c r="BE3" s="18"/>
      <c r="BF3" s="103" t="s">
        <v>273</v>
      </c>
      <c r="BG3" s="103" t="s">
        <v>50</v>
      </c>
      <c r="BH3" s="103" t="s">
        <v>275</v>
      </c>
      <c r="BI3" s="101" t="s">
        <v>51</v>
      </c>
      <c r="BJ3" s="101" t="s">
        <v>52</v>
      </c>
      <c r="BK3" s="100" t="s">
        <v>52</v>
      </c>
      <c r="BL3" s="100" t="s">
        <v>52</v>
      </c>
      <c r="BM3" s="102" t="s">
        <v>278</v>
      </c>
      <c r="BN3" s="102" t="s">
        <v>34</v>
      </c>
      <c r="BO3" s="99"/>
      <c r="BP3" s="18"/>
      <c r="BQ3" s="18"/>
      <c r="BR3" s="139" t="s">
        <v>232</v>
      </c>
      <c r="BS3" s="140">
        <f t="shared" ref="BS3:BV3" si="0">COUNTIF(BS$7:BS$40,"Yes")</f>
        <v>0</v>
      </c>
      <c r="BT3" s="140">
        <f t="shared" si="0"/>
        <v>0</v>
      </c>
      <c r="BU3" s="140">
        <f t="shared" si="0"/>
        <v>0</v>
      </c>
      <c r="BV3" s="140">
        <f t="shared" si="0"/>
        <v>0</v>
      </c>
      <c r="BW3" s="140">
        <f ca="1">COUNTIF(BW$7:BW$40,"Yes")</f>
        <v>1</v>
      </c>
      <c r="BX3" s="140">
        <f ca="1">COUNTIF(BX$7:BX$40,"Yes")</f>
        <v>0</v>
      </c>
      <c r="BY3" s="140">
        <f ca="1">COUNTIF(BY$7:BY$40,"Yes")</f>
        <v>1</v>
      </c>
      <c r="BZ3" s="140">
        <f ca="1">COUNTIF(BZ$7:BZ$40,"Yes")</f>
        <v>1</v>
      </c>
      <c r="CA3" s="140">
        <f ca="1">COUNTIF(CA$7:CA$40,"Yes")</f>
        <v>1</v>
      </c>
      <c r="CB3" s="140">
        <f ca="1">COUNTIF(CB$7:CB$40,"&lt;&gt;--")-COUNTIF(CB$7:CB$40,"Done")</f>
        <v>1</v>
      </c>
    </row>
    <row r="4" spans="1:82" s="19" customFormat="1" x14ac:dyDescent="0.25">
      <c r="B4" s="10"/>
      <c r="C4" s="10"/>
      <c r="D4" s="7" t="s">
        <v>48</v>
      </c>
      <c r="E4" s="21">
        <v>95366</v>
      </c>
      <c r="F4" s="7" t="s">
        <v>47</v>
      </c>
      <c r="G4" s="22" t="s">
        <v>253</v>
      </c>
      <c r="H4" s="13"/>
      <c r="I4" s="6"/>
      <c r="J4" s="23"/>
      <c r="K4" s="13"/>
      <c r="L4" s="10"/>
      <c r="M4" s="6"/>
      <c r="N4" s="94" t="s">
        <v>4</v>
      </c>
      <c r="O4" s="10" t="s">
        <v>6</v>
      </c>
      <c r="P4" s="10"/>
      <c r="Q4" s="11" t="s">
        <v>34</v>
      </c>
      <c r="R4" s="12" t="s">
        <v>35</v>
      </c>
      <c r="S4" s="94" t="s">
        <v>4</v>
      </c>
      <c r="T4" s="10" t="s">
        <v>6</v>
      </c>
      <c r="U4" s="53" t="s">
        <v>159</v>
      </c>
      <c r="V4" s="4"/>
      <c r="W4" s="11" t="s">
        <v>34</v>
      </c>
      <c r="X4" s="163" t="s">
        <v>35</v>
      </c>
      <c r="Y4" s="24" t="s">
        <v>42</v>
      </c>
      <c r="Z4" s="163"/>
      <c r="AA4" s="107" t="s">
        <v>121</v>
      </c>
      <c r="AB4" s="98" t="s">
        <v>153</v>
      </c>
      <c r="AC4" s="11" t="s">
        <v>23</v>
      </c>
      <c r="AD4" s="98" t="s">
        <v>156</v>
      </c>
      <c r="AE4" s="25" t="s">
        <v>22</v>
      </c>
      <c r="AF4" s="164" t="s">
        <v>270</v>
      </c>
      <c r="AG4" s="14" t="s">
        <v>270</v>
      </c>
      <c r="AH4" s="15" t="s">
        <v>135</v>
      </c>
      <c r="AI4" s="108" t="s">
        <v>136</v>
      </c>
      <c r="AJ4" s="109" t="s">
        <v>136</v>
      </c>
      <c r="AK4" s="109" t="s">
        <v>136</v>
      </c>
      <c r="AL4" s="154" t="s">
        <v>137</v>
      </c>
      <c r="AM4" s="155" t="s">
        <v>20</v>
      </c>
      <c r="AN4" s="149" t="s">
        <v>244</v>
      </c>
      <c r="AO4" s="149" t="s">
        <v>35</v>
      </c>
      <c r="AP4" s="155" t="s">
        <v>141</v>
      </c>
      <c r="AQ4" s="154" t="s">
        <v>142</v>
      </c>
      <c r="AR4" s="154" t="s">
        <v>143</v>
      </c>
      <c r="AS4" s="154" t="s">
        <v>144</v>
      </c>
      <c r="AT4" s="154" t="s">
        <v>146</v>
      </c>
      <c r="AU4" s="154" t="s">
        <v>145</v>
      </c>
      <c r="AV4" s="154" t="s">
        <v>147</v>
      </c>
      <c r="AW4" s="154" t="s">
        <v>148</v>
      </c>
      <c r="AX4" s="154" t="s">
        <v>149</v>
      </c>
      <c r="AY4" s="17" t="s">
        <v>150</v>
      </c>
      <c r="AZ4" s="134" t="s">
        <v>151</v>
      </c>
      <c r="BA4" s="136" t="s">
        <v>152</v>
      </c>
      <c r="BB4" s="135"/>
      <c r="BC4" s="170" t="s">
        <v>238</v>
      </c>
      <c r="BD4" s="170"/>
      <c r="BE4" s="18"/>
      <c r="BF4" s="103" t="s">
        <v>276</v>
      </c>
      <c r="BG4" s="100" t="s">
        <v>53</v>
      </c>
      <c r="BH4" s="100" t="s">
        <v>53</v>
      </c>
      <c r="BI4" s="101" t="s">
        <v>54</v>
      </c>
      <c r="BJ4" s="101" t="s">
        <v>55</v>
      </c>
      <c r="BK4" s="100" t="s">
        <v>56</v>
      </c>
      <c r="BL4" s="100" t="s">
        <v>57</v>
      </c>
      <c r="BM4" s="102" t="s">
        <v>123</v>
      </c>
      <c r="BN4" s="102" t="s">
        <v>5</v>
      </c>
      <c r="BO4" s="102" t="s">
        <v>35</v>
      </c>
      <c r="BP4" s="18"/>
      <c r="BQ4" s="18"/>
      <c r="BR4" s="139" t="s">
        <v>233</v>
      </c>
      <c r="BS4" s="140">
        <f t="shared" ref="BS4:BV4" si="1">COUNTIF(BS$7:BS$40,"Queue")</f>
        <v>0</v>
      </c>
      <c r="BT4" s="140">
        <f t="shared" si="1"/>
        <v>0</v>
      </c>
      <c r="BU4" s="140">
        <f t="shared" si="1"/>
        <v>0</v>
      </c>
      <c r="BV4" s="140">
        <f t="shared" si="1"/>
        <v>0</v>
      </c>
      <c r="BW4" s="140">
        <f ca="1">COUNTIF(BW$7:BW$40,"Queue")</f>
        <v>0</v>
      </c>
      <c r="BX4" s="140">
        <f ca="1">COUNTIF(BX$7:BX$40,"Queue")</f>
        <v>0</v>
      </c>
      <c r="BY4" s="140">
        <f ca="1">COUNTIF(BY$7:BY$40,"Queue")</f>
        <v>0</v>
      </c>
      <c r="BZ4" s="140">
        <f ca="1">COUNTIF(BZ$7:BZ$40,"Queue")</f>
        <v>0</v>
      </c>
      <c r="CA4" s="140">
        <f ca="1">COUNTIF(CA$7:CA$40,"Queue")</f>
        <v>0</v>
      </c>
      <c r="CB4" s="152" t="s">
        <v>166</v>
      </c>
    </row>
    <row r="5" spans="1:82" s="19" customFormat="1" x14ac:dyDescent="0.25">
      <c r="B5" s="10"/>
      <c r="C5" s="10"/>
      <c r="D5" s="52" t="s">
        <v>10</v>
      </c>
      <c r="E5" s="53" t="s">
        <v>120</v>
      </c>
      <c r="F5" s="53" t="s">
        <v>119</v>
      </c>
      <c r="G5" s="10" t="s">
        <v>0</v>
      </c>
      <c r="H5" s="53" t="s">
        <v>74</v>
      </c>
      <c r="I5" s="10" t="s">
        <v>2</v>
      </c>
      <c r="J5" s="10" t="s">
        <v>1</v>
      </c>
      <c r="K5" s="10" t="s">
        <v>3</v>
      </c>
      <c r="L5" s="53" t="s">
        <v>154</v>
      </c>
      <c r="M5" s="6" t="s">
        <v>8</v>
      </c>
      <c r="N5" s="94" t="s">
        <v>5</v>
      </c>
      <c r="O5" s="10" t="s">
        <v>7</v>
      </c>
      <c r="P5" s="10" t="s">
        <v>37</v>
      </c>
      <c r="Q5" s="11" t="s">
        <v>5</v>
      </c>
      <c r="R5" s="12" t="s">
        <v>36</v>
      </c>
      <c r="S5" s="94" t="s">
        <v>5</v>
      </c>
      <c r="T5" s="10" t="s">
        <v>7</v>
      </c>
      <c r="U5" s="53" t="s">
        <v>160</v>
      </c>
      <c r="V5" s="10" t="s">
        <v>37</v>
      </c>
      <c r="W5" s="11" t="s">
        <v>5</v>
      </c>
      <c r="X5" s="163" t="s">
        <v>36</v>
      </c>
      <c r="Y5" s="24" t="s">
        <v>43</v>
      </c>
      <c r="Z5" s="163" t="s">
        <v>46</v>
      </c>
      <c r="AA5" s="107" t="s">
        <v>5</v>
      </c>
      <c r="AB5" s="98" t="s">
        <v>5</v>
      </c>
      <c r="AC5" s="11" t="s">
        <v>5</v>
      </c>
      <c r="AD5" s="11" t="s">
        <v>5</v>
      </c>
      <c r="AE5" s="25" t="s">
        <v>5</v>
      </c>
      <c r="AF5" s="165" t="s">
        <v>271</v>
      </c>
      <c r="AG5" s="98" t="s">
        <v>272</v>
      </c>
      <c r="AH5" s="25" t="s">
        <v>21</v>
      </c>
      <c r="AI5" s="26" t="s">
        <v>11</v>
      </c>
      <c r="AJ5" s="10" t="s">
        <v>12</v>
      </c>
      <c r="AK5" s="53" t="s">
        <v>128</v>
      </c>
      <c r="AL5" s="53" t="s">
        <v>129</v>
      </c>
      <c r="AM5" s="106" t="s">
        <v>64</v>
      </c>
      <c r="AN5" s="53" t="s">
        <v>243</v>
      </c>
      <c r="AO5" s="53" t="s">
        <v>36</v>
      </c>
      <c r="AP5" s="106" t="s">
        <v>138</v>
      </c>
      <c r="AQ5" s="53" t="s">
        <v>139</v>
      </c>
      <c r="AR5" s="53" t="s">
        <v>140</v>
      </c>
      <c r="AS5" s="53" t="s">
        <v>130</v>
      </c>
      <c r="AT5" s="10" t="s">
        <v>40</v>
      </c>
      <c r="AU5" s="10" t="s">
        <v>17</v>
      </c>
      <c r="AV5" s="10" t="s">
        <v>18</v>
      </c>
      <c r="AW5" s="10" t="s">
        <v>38</v>
      </c>
      <c r="AX5" s="10" t="s">
        <v>19</v>
      </c>
      <c r="AY5" s="105" t="s">
        <v>131</v>
      </c>
      <c r="AZ5" s="106" t="s">
        <v>132</v>
      </c>
      <c r="BA5" s="105" t="s">
        <v>134</v>
      </c>
      <c r="BB5" s="135"/>
      <c r="BC5" s="135" t="s">
        <v>58</v>
      </c>
      <c r="BD5" s="135" t="s">
        <v>122</v>
      </c>
      <c r="BE5" s="18"/>
      <c r="BF5" s="100"/>
      <c r="BG5" s="103" t="s">
        <v>5</v>
      </c>
      <c r="BH5" s="103" t="s">
        <v>5</v>
      </c>
      <c r="BI5" s="100"/>
      <c r="BJ5" s="100"/>
      <c r="BK5" s="103" t="s">
        <v>5</v>
      </c>
      <c r="BL5" s="103" t="s">
        <v>5</v>
      </c>
      <c r="BM5" s="100"/>
      <c r="BN5" s="100"/>
      <c r="BO5" s="100"/>
      <c r="BP5" s="18"/>
      <c r="BQ5" s="18"/>
      <c r="BR5" s="139" t="s">
        <v>234</v>
      </c>
      <c r="BS5" s="140">
        <f t="shared" ref="BS5:BV5" si="2">COUNTIF(BS$7:BS$40,"Done")</f>
        <v>0</v>
      </c>
      <c r="BT5" s="140">
        <f t="shared" si="2"/>
        <v>0</v>
      </c>
      <c r="BU5" s="140">
        <f t="shared" si="2"/>
        <v>0</v>
      </c>
      <c r="BV5" s="140">
        <f t="shared" si="2"/>
        <v>0</v>
      </c>
      <c r="BW5" s="140">
        <f ca="1">COUNTIF(BW$7:BW$40,"Done")</f>
        <v>0</v>
      </c>
      <c r="BX5" s="140">
        <f ca="1">COUNTIF(BX$7:BX$40,"Done")</f>
        <v>1</v>
      </c>
      <c r="BY5" s="140">
        <f ca="1">COUNTIF(BY$7:BY$40,"Done")</f>
        <v>0</v>
      </c>
      <c r="BZ5" s="140">
        <f ca="1">COUNTIF(BZ$7:BZ$40,"Done")</f>
        <v>0</v>
      </c>
      <c r="CA5" s="140">
        <f ca="1">COUNTIF(CA$7:CA$40,"Done")</f>
        <v>0</v>
      </c>
      <c r="CB5" s="152" t="s">
        <v>166</v>
      </c>
    </row>
    <row r="6" spans="1:82" s="19" customFormat="1" x14ac:dyDescent="0.25">
      <c r="B6" s="160" t="s">
        <v>264</v>
      </c>
      <c r="C6" s="160" t="s">
        <v>264</v>
      </c>
      <c r="D6" s="160" t="s">
        <v>264</v>
      </c>
      <c r="E6" s="160" t="s">
        <v>264</v>
      </c>
      <c r="F6" s="160" t="s">
        <v>264</v>
      </c>
      <c r="G6" s="160" t="s">
        <v>264</v>
      </c>
      <c r="H6" s="160" t="s">
        <v>264</v>
      </c>
      <c r="I6" s="160" t="s">
        <v>264</v>
      </c>
      <c r="J6" s="160" t="s">
        <v>264</v>
      </c>
      <c r="K6" s="160" t="s">
        <v>264</v>
      </c>
      <c r="L6" s="160" t="s">
        <v>264</v>
      </c>
      <c r="M6" s="160" t="s">
        <v>264</v>
      </c>
      <c r="N6" s="161" t="s">
        <v>264</v>
      </c>
      <c r="O6" s="160" t="s">
        <v>264</v>
      </c>
      <c r="P6" s="160" t="s">
        <v>264</v>
      </c>
      <c r="Q6" s="160" t="s">
        <v>264</v>
      </c>
      <c r="R6" s="162" t="s">
        <v>264</v>
      </c>
      <c r="S6" s="161" t="s">
        <v>264</v>
      </c>
      <c r="T6" s="160" t="s">
        <v>264</v>
      </c>
      <c r="U6" s="160" t="s">
        <v>264</v>
      </c>
      <c r="V6" s="160" t="s">
        <v>264</v>
      </c>
      <c r="W6" s="160" t="s">
        <v>264</v>
      </c>
      <c r="X6" s="160" t="s">
        <v>264</v>
      </c>
      <c r="Y6" s="161" t="s">
        <v>264</v>
      </c>
      <c r="Z6" s="160" t="s">
        <v>264</v>
      </c>
      <c r="AA6" s="161" t="s">
        <v>264</v>
      </c>
      <c r="AB6" s="160" t="s">
        <v>264</v>
      </c>
      <c r="AC6" s="160" t="s">
        <v>264</v>
      </c>
      <c r="AD6" s="160" t="s">
        <v>264</v>
      </c>
      <c r="AE6" s="160" t="s">
        <v>264</v>
      </c>
      <c r="AF6" s="161" t="s">
        <v>264</v>
      </c>
      <c r="AG6" s="160" t="s">
        <v>264</v>
      </c>
      <c r="AH6" s="160" t="s">
        <v>264</v>
      </c>
      <c r="AI6" s="161" t="s">
        <v>264</v>
      </c>
      <c r="AJ6" s="160" t="s">
        <v>264</v>
      </c>
      <c r="AK6" s="160" t="s">
        <v>264</v>
      </c>
      <c r="AL6" s="160" t="s">
        <v>264</v>
      </c>
      <c r="AM6" s="161" t="s">
        <v>264</v>
      </c>
      <c r="AN6" s="160" t="s">
        <v>264</v>
      </c>
      <c r="AO6" s="160" t="s">
        <v>264</v>
      </c>
      <c r="AP6" s="161" t="s">
        <v>264</v>
      </c>
      <c r="AQ6" s="160" t="s">
        <v>264</v>
      </c>
      <c r="AR6" s="160" t="s">
        <v>264</v>
      </c>
      <c r="AS6" s="160" t="s">
        <v>264</v>
      </c>
      <c r="AT6" s="160" t="s">
        <v>264</v>
      </c>
      <c r="AU6" s="160" t="s">
        <v>264</v>
      </c>
      <c r="AV6" s="160" t="s">
        <v>264</v>
      </c>
      <c r="AW6" s="160" t="s">
        <v>264</v>
      </c>
      <c r="AX6" s="160" t="s">
        <v>264</v>
      </c>
      <c r="AY6" s="160" t="s">
        <v>264</v>
      </c>
      <c r="AZ6" s="160" t="s">
        <v>264</v>
      </c>
      <c r="BA6" s="160" t="s">
        <v>264</v>
      </c>
      <c r="BB6" s="160" t="s">
        <v>264</v>
      </c>
      <c r="BC6" s="160" t="s">
        <v>264</v>
      </c>
      <c r="BD6" s="160" t="s">
        <v>264</v>
      </c>
      <c r="BE6" s="160" t="s">
        <v>264</v>
      </c>
      <c r="BF6" s="160" t="s">
        <v>264</v>
      </c>
      <c r="BG6" s="160" t="s">
        <v>264</v>
      </c>
      <c r="BH6" s="160" t="s">
        <v>264</v>
      </c>
      <c r="BI6" s="160" t="s">
        <v>264</v>
      </c>
      <c r="BJ6" s="160" t="s">
        <v>264</v>
      </c>
      <c r="BK6" s="160" t="s">
        <v>264</v>
      </c>
      <c r="BL6" s="160" t="s">
        <v>264</v>
      </c>
      <c r="BM6" s="160" t="s">
        <v>264</v>
      </c>
      <c r="BN6" s="160" t="s">
        <v>264</v>
      </c>
      <c r="BO6" s="160" t="s">
        <v>264</v>
      </c>
      <c r="BP6" s="160" t="s">
        <v>264</v>
      </c>
      <c r="BQ6" s="160" t="s">
        <v>264</v>
      </c>
      <c r="BR6" s="160" t="s">
        <v>264</v>
      </c>
      <c r="BS6" s="160" t="s">
        <v>264</v>
      </c>
      <c r="BT6" s="160" t="s">
        <v>264</v>
      </c>
      <c r="BU6" s="160" t="s">
        <v>264</v>
      </c>
      <c r="BV6" s="160" t="s">
        <v>264</v>
      </c>
      <c r="BW6" s="160" t="s">
        <v>264</v>
      </c>
      <c r="BX6" s="160" t="s">
        <v>264</v>
      </c>
      <c r="BY6" s="160" t="s">
        <v>264</v>
      </c>
      <c r="BZ6" s="160" t="s">
        <v>264</v>
      </c>
      <c r="CA6" s="160" t="s">
        <v>264</v>
      </c>
      <c r="CB6" s="160" t="s">
        <v>264</v>
      </c>
    </row>
    <row r="7" spans="1:82" x14ac:dyDescent="0.25">
      <c r="A7" s="97"/>
      <c r="B7" s="77"/>
      <c r="C7" s="77"/>
      <c r="D7" s="81">
        <v>1234</v>
      </c>
      <c r="E7" s="69">
        <v>1</v>
      </c>
      <c r="F7" s="70">
        <v>1</v>
      </c>
      <c r="G7" s="81" t="s">
        <v>254</v>
      </c>
      <c r="H7" s="69">
        <v>1</v>
      </c>
      <c r="I7" s="79" t="s">
        <v>255</v>
      </c>
      <c r="J7" s="69"/>
      <c r="K7" s="78">
        <v>1500</v>
      </c>
      <c r="L7" s="78">
        <v>0</v>
      </c>
      <c r="M7" s="79" t="s">
        <v>256</v>
      </c>
      <c r="N7" s="141">
        <v>36892</v>
      </c>
      <c r="O7" s="78" t="s">
        <v>256</v>
      </c>
      <c r="P7" s="143">
        <v>1</v>
      </c>
      <c r="Q7" s="141">
        <v>42255</v>
      </c>
      <c r="R7" s="71" t="s">
        <v>166</v>
      </c>
      <c r="S7" s="141">
        <v>37289</v>
      </c>
      <c r="T7" s="78" t="s">
        <v>256</v>
      </c>
      <c r="U7" s="78"/>
      <c r="V7" s="68">
        <v>2</v>
      </c>
      <c r="W7" s="141">
        <v>42255</v>
      </c>
      <c r="X7" s="72"/>
      <c r="Y7" s="67"/>
      <c r="Z7" s="151"/>
      <c r="AD7" s="80"/>
      <c r="AE7" s="80"/>
      <c r="AF7" s="80"/>
      <c r="AG7" s="80"/>
      <c r="AH7" s="80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 t="s">
        <v>269</v>
      </c>
      <c r="AW7" s="78" t="s">
        <v>269</v>
      </c>
      <c r="BB7" s="77"/>
      <c r="BC7" s="31"/>
      <c r="BF7" s="97" t="s">
        <v>269</v>
      </c>
      <c r="BG7" s="168"/>
      <c r="BH7" s="166"/>
      <c r="BK7" s="166"/>
      <c r="BL7" s="166"/>
      <c r="BM7" s="18">
        <v>3</v>
      </c>
      <c r="BN7" s="166">
        <v>42096</v>
      </c>
      <c r="BR7" s="137">
        <f t="shared" ref="BR7:BR40" ca="1" si="3">IF(S7="","--",$CC$1-S7)</f>
        <v>4966</v>
      </c>
      <c r="BS7" s="133" t="str">
        <f t="shared" ref="BS7:BS40" si="4">IF($BS$2 = TRUE, IF(BR7&lt;&gt;"--",IF(BR7&gt;0,IF(AA7="","Yes","Done"),"Queue"),"--"), "--")</f>
        <v>--</v>
      </c>
      <c r="BT7" s="132" t="str">
        <f t="shared" ref="BT7:BT40" si="5">IF($BT$2=TRUE,IF(BR7&lt;&gt;"--",IF(BR7&gt;0,IF(AB7="","Yes","Done"),"Queue"),"--"),"--")</f>
        <v>--</v>
      </c>
      <c r="BU7" s="132" t="str">
        <f t="shared" ref="BU7:BU40" si="6">IF($BU$2 = TRUE,IF(BR7&lt;&gt;"--",IF(BR7&gt;0,IF(AC7="","Yes","Done"),"Queue"),"--"),"--")</f>
        <v>--</v>
      </c>
      <c r="BV7" s="132" t="str">
        <f t="shared" ref="BV7:BV40" si="7">IF($BV$2 = TRUE,IF(BR7&lt;&gt;"--",IF(BR7&gt;0,IF(AD7="","Yes","Done"),"Queue"),"--"),"--")</f>
        <v>--</v>
      </c>
      <c r="BW7" s="132" t="str">
        <f ca="1">IF(BR7&lt;&gt;"--",IF(BR7&gt;0,IF(AE7="","Yes","Done"),"Queue"),"--")</f>
        <v>Yes</v>
      </c>
      <c r="BX7" s="132" t="str">
        <f ca="1">IF($BX$2 = TRUE,IF(BR7&lt;&gt;"--",IF(BR7&gt;0,IF(OR(Q7="",W7=""),"Yes","Done"),"Queue"),"--"),IF(BR7&lt;&gt;"--",IF(BR7&gt;0,IF(W7="","Yes","Done"),"Queue"),"--"))</f>
        <v>Done</v>
      </c>
      <c r="BY7" s="132" t="str">
        <f ca="1">IF($BX$2 = TRUE,IF(BX7="Done",IF(BR7&gt;0,IF(OR(R7="",X7=""),"Yes","Done"),"Queue"),"--"),IF(BX7="Done",IF(BR7&gt;0,IF(X7="","Yes","Done"),"Queue"),"--"))</f>
        <v>Yes</v>
      </c>
      <c r="BZ7" s="132" t="str">
        <f ca="1">IF(OR(BF7&lt;&gt;"",$BZ$2 = TRUE),IF(BR7&lt;&gt;"--",IF(BR7&gt;0,IF(BO7="","Yes","Done"),"Queue"),"--"),"--")</f>
        <v>Yes</v>
      </c>
      <c r="CA7" s="132" t="str">
        <f ca="1">IF($CA$2 = TRUE,IF(BR7&lt;&gt;"--",IF(BR7&gt;0,IF(AO7="","Yes","Done"),"Queue"),"--"),"--")</f>
        <v>Yes</v>
      </c>
      <c r="CB7" s="132" t="str">
        <f ca="1">IF(BR7&lt;&gt;"--",IF(AE7="",Y7&amp; " - "&amp; Z7,"Done"),"--")</f>
        <v xml:space="preserve"> - </v>
      </c>
      <c r="CC7" s="132"/>
    </row>
    <row r="8" spans="1:82" x14ac:dyDescent="0.25">
      <c r="A8" s="97"/>
      <c r="B8" s="77"/>
      <c r="C8" s="77"/>
      <c r="D8" s="81"/>
      <c r="E8" s="79"/>
      <c r="F8" s="70"/>
      <c r="G8" s="81"/>
      <c r="H8" s="79"/>
      <c r="I8" s="79"/>
      <c r="J8" s="79"/>
      <c r="K8" s="78"/>
      <c r="L8" s="78"/>
      <c r="M8" s="79"/>
      <c r="N8" s="141"/>
      <c r="O8" s="78"/>
      <c r="P8" s="143"/>
      <c r="Q8" s="141"/>
      <c r="R8" s="71"/>
      <c r="S8" s="141"/>
      <c r="T8" s="78"/>
      <c r="U8" s="78"/>
      <c r="V8" s="78"/>
      <c r="W8" s="141"/>
      <c r="X8" s="72"/>
      <c r="Y8" s="67"/>
      <c r="AD8" s="80"/>
      <c r="AE8" s="80"/>
      <c r="AF8" s="80"/>
      <c r="AG8" s="80"/>
      <c r="AH8" s="80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7"/>
      <c r="AY8" s="77"/>
      <c r="BB8" s="77"/>
      <c r="BC8" s="31"/>
      <c r="BG8" s="166"/>
      <c r="BH8" s="166"/>
      <c r="BK8" s="166"/>
      <c r="BL8" s="166"/>
      <c r="BN8" s="166"/>
      <c r="BR8" s="137" t="str">
        <f t="shared" si="3"/>
        <v>--</v>
      </c>
      <c r="BS8" s="133" t="str">
        <f t="shared" si="4"/>
        <v>--</v>
      </c>
      <c r="BT8" s="132" t="str">
        <f t="shared" si="5"/>
        <v>--</v>
      </c>
      <c r="BU8" s="132" t="str">
        <f t="shared" si="6"/>
        <v>--</v>
      </c>
      <c r="BV8" s="132" t="str">
        <f t="shared" si="7"/>
        <v>--</v>
      </c>
      <c r="BW8" s="132" t="str">
        <f t="shared" ref="BW8:BW40" si="8">IF(BR8&lt;&gt;"--",IF(BR8&gt;0,IF(AE8="","Yes","Done"),"Queue"),"--")</f>
        <v>--</v>
      </c>
      <c r="BX8" s="132" t="str">
        <f t="shared" ref="BX8:BX40" si="9">IF($BX$2 = TRUE,IF(BR8&lt;&gt;"--",IF(BR8&gt;0,IF(OR(Q8="",W8=""),"Yes","Done"),"Queue"),"--"),IF(BR8&lt;&gt;"--",IF(BR8&gt;0,IF(W8="","Yes","Done"),"Queue"),"--"))</f>
        <v>--</v>
      </c>
      <c r="BY8" s="132" t="str">
        <f t="shared" ref="BY8:BY40" si="10">IF($BX$2 = TRUE,IF(BX8="Done",IF(BR8&gt;0,IF(OR(R8="",X8=""),"Yes","Done"),"Queue"),"--"),IF(BX8="Done",IF(BR8&gt;0,IF(X8="","Yes","Done"),"Queue"),"--"))</f>
        <v>--</v>
      </c>
      <c r="BZ8" s="132" t="str">
        <f t="shared" ref="BZ8:BZ40" si="11">IF(OR(BK8&lt;&gt;"",BL8&lt;&gt;"",BM8&lt;&gt;"",$BZ$2 = TRUE),IF(BR8&lt;&gt;"--",IF(BR8&gt;0,IF(BO8="","Yes","Done"),"Queue"),"--"),"--")</f>
        <v>--</v>
      </c>
      <c r="CA8" s="132" t="str">
        <f t="shared" ref="CA8:CA40" si="12">IF($CA$2 = TRUE,IF(BR8&lt;&gt;"--",IF(BR8&gt;0,IF(AO8="","Yes","Done"),"Queue"),"--"),"--")</f>
        <v>--</v>
      </c>
      <c r="CB8" s="132" t="str">
        <f t="shared" ref="CB8:CB40" si="13">IF(BR8&lt;&gt;"--",IF(AE8="",Y8&amp; " - "&amp; Z8,"Done"),"--")</f>
        <v>--</v>
      </c>
    </row>
    <row r="9" spans="1:82" x14ac:dyDescent="0.25">
      <c r="A9" s="97"/>
      <c r="B9" s="77"/>
      <c r="C9" s="77"/>
      <c r="D9" s="81"/>
      <c r="E9" s="79"/>
      <c r="F9" s="70"/>
      <c r="G9" s="81"/>
      <c r="H9" s="79"/>
      <c r="I9" s="79"/>
      <c r="J9" s="79"/>
      <c r="K9" s="78"/>
      <c r="L9" s="78"/>
      <c r="M9" s="79"/>
      <c r="N9" s="141"/>
      <c r="O9" s="78"/>
      <c r="P9" s="143"/>
      <c r="Q9" s="141"/>
      <c r="R9" s="71"/>
      <c r="S9" s="141"/>
      <c r="T9" s="78"/>
      <c r="U9" s="78"/>
      <c r="V9" s="78"/>
      <c r="W9" s="141"/>
      <c r="X9" s="72"/>
      <c r="Y9" s="67"/>
      <c r="AD9" s="80"/>
      <c r="AE9" s="80"/>
      <c r="AF9" s="80"/>
      <c r="AG9" s="80"/>
      <c r="AH9" s="80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7"/>
      <c r="AY9" s="77"/>
      <c r="BB9" s="77"/>
      <c r="BC9" s="31"/>
      <c r="BG9" s="166"/>
      <c r="BH9" s="166"/>
      <c r="BK9" s="166"/>
      <c r="BL9" s="166"/>
      <c r="BN9" s="166"/>
      <c r="BR9" s="137" t="str">
        <f t="shared" si="3"/>
        <v>--</v>
      </c>
      <c r="BS9" s="133" t="str">
        <f t="shared" si="4"/>
        <v>--</v>
      </c>
      <c r="BT9" s="132" t="str">
        <f t="shared" si="5"/>
        <v>--</v>
      </c>
      <c r="BU9" s="132" t="str">
        <f t="shared" si="6"/>
        <v>--</v>
      </c>
      <c r="BV9" s="132" t="str">
        <f t="shared" si="7"/>
        <v>--</v>
      </c>
      <c r="BW9" s="132" t="str">
        <f t="shared" si="8"/>
        <v>--</v>
      </c>
      <c r="BX9" s="132" t="str">
        <f t="shared" si="9"/>
        <v>--</v>
      </c>
      <c r="BY9" s="132" t="str">
        <f t="shared" si="10"/>
        <v>--</v>
      </c>
      <c r="BZ9" s="132" t="str">
        <f t="shared" si="11"/>
        <v>--</v>
      </c>
      <c r="CA9" s="132" t="str">
        <f t="shared" si="12"/>
        <v>--</v>
      </c>
      <c r="CB9" s="132" t="str">
        <f t="shared" si="13"/>
        <v>--</v>
      </c>
    </row>
    <row r="10" spans="1:82" x14ac:dyDescent="0.25">
      <c r="A10" s="97"/>
      <c r="B10" s="77"/>
      <c r="C10" s="77"/>
      <c r="D10" s="81"/>
      <c r="E10" s="79"/>
      <c r="F10" s="70"/>
      <c r="G10" s="81"/>
      <c r="H10" s="79"/>
      <c r="I10" s="79"/>
      <c r="J10" s="79"/>
      <c r="K10" s="78"/>
      <c r="L10" s="78"/>
      <c r="M10" s="79"/>
      <c r="N10" s="141"/>
      <c r="O10" s="78"/>
      <c r="P10" s="143"/>
      <c r="Q10" s="141"/>
      <c r="R10" s="71"/>
      <c r="S10" s="141"/>
      <c r="T10" s="78"/>
      <c r="U10" s="78"/>
      <c r="V10" s="78"/>
      <c r="W10" s="141"/>
      <c r="X10" s="72"/>
      <c r="Y10" s="67"/>
      <c r="AD10" s="80"/>
      <c r="AE10" s="80"/>
      <c r="AF10" s="80"/>
      <c r="AG10" s="80"/>
      <c r="AH10" s="80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7"/>
      <c r="AY10" s="77"/>
      <c r="BB10" s="77"/>
      <c r="BC10" s="31"/>
      <c r="BG10" s="166"/>
      <c r="BH10" s="166"/>
      <c r="BK10" s="166"/>
      <c r="BL10" s="166"/>
      <c r="BN10" s="166"/>
      <c r="BR10" s="137" t="str">
        <f t="shared" si="3"/>
        <v>--</v>
      </c>
      <c r="BS10" s="133" t="str">
        <f t="shared" si="4"/>
        <v>--</v>
      </c>
      <c r="BT10" s="132" t="str">
        <f t="shared" si="5"/>
        <v>--</v>
      </c>
      <c r="BU10" s="132" t="str">
        <f t="shared" si="6"/>
        <v>--</v>
      </c>
      <c r="BV10" s="132" t="str">
        <f t="shared" si="7"/>
        <v>--</v>
      </c>
      <c r="BW10" s="132" t="str">
        <f t="shared" si="8"/>
        <v>--</v>
      </c>
      <c r="BX10" s="132" t="str">
        <f t="shared" si="9"/>
        <v>--</v>
      </c>
      <c r="BY10" s="132" t="str">
        <f t="shared" si="10"/>
        <v>--</v>
      </c>
      <c r="BZ10" s="132" t="str">
        <f t="shared" si="11"/>
        <v>--</v>
      </c>
      <c r="CA10" s="132" t="str">
        <f t="shared" si="12"/>
        <v>--</v>
      </c>
      <c r="CB10" s="132" t="str">
        <f t="shared" si="13"/>
        <v>--</v>
      </c>
    </row>
    <row r="11" spans="1:82" x14ac:dyDescent="0.25">
      <c r="A11" s="97"/>
      <c r="B11" s="77"/>
      <c r="C11" s="77"/>
      <c r="D11" s="81"/>
      <c r="E11" s="79"/>
      <c r="F11" s="70"/>
      <c r="G11" s="81"/>
      <c r="H11" s="79"/>
      <c r="I11" s="79"/>
      <c r="J11" s="79"/>
      <c r="K11" s="78"/>
      <c r="L11" s="78"/>
      <c r="M11" s="79"/>
      <c r="N11" s="141"/>
      <c r="O11" s="78"/>
      <c r="P11" s="143"/>
      <c r="Q11" s="141"/>
      <c r="R11" s="71"/>
      <c r="S11" s="141"/>
      <c r="T11" s="78"/>
      <c r="U11" s="78"/>
      <c r="V11" s="78"/>
      <c r="W11" s="141"/>
      <c r="X11" s="72"/>
      <c r="Y11" s="67"/>
      <c r="AD11" s="80"/>
      <c r="AE11" s="80"/>
      <c r="AF11" s="80"/>
      <c r="AG11" s="80"/>
      <c r="AH11" s="80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7"/>
      <c r="AY11" s="77"/>
      <c r="BB11" s="77"/>
      <c r="BC11" s="31"/>
      <c r="BG11" s="166"/>
      <c r="BH11" s="166"/>
      <c r="BK11" s="166"/>
      <c r="BL11" s="166"/>
      <c r="BN11" s="166"/>
      <c r="BR11" s="137" t="str">
        <f t="shared" si="3"/>
        <v>--</v>
      </c>
      <c r="BS11" s="133" t="str">
        <f t="shared" si="4"/>
        <v>--</v>
      </c>
      <c r="BT11" s="132" t="str">
        <f t="shared" si="5"/>
        <v>--</v>
      </c>
      <c r="BU11" s="132" t="str">
        <f t="shared" si="6"/>
        <v>--</v>
      </c>
      <c r="BV11" s="132" t="str">
        <f t="shared" si="7"/>
        <v>--</v>
      </c>
      <c r="BW11" s="132" t="str">
        <f t="shared" si="8"/>
        <v>--</v>
      </c>
      <c r="BX11" s="132" t="str">
        <f t="shared" si="9"/>
        <v>--</v>
      </c>
      <c r="BY11" s="132" t="str">
        <f t="shared" si="10"/>
        <v>--</v>
      </c>
      <c r="BZ11" s="132" t="str">
        <f t="shared" si="11"/>
        <v>--</v>
      </c>
      <c r="CA11" s="132" t="str">
        <f t="shared" si="12"/>
        <v>--</v>
      </c>
      <c r="CB11" s="132" t="str">
        <f t="shared" si="13"/>
        <v>--</v>
      </c>
    </row>
    <row r="12" spans="1:82" x14ac:dyDescent="0.25">
      <c r="A12" s="97"/>
      <c r="B12" s="77"/>
      <c r="C12" s="77"/>
      <c r="D12" s="81"/>
      <c r="E12" s="79"/>
      <c r="F12" s="70"/>
      <c r="G12" s="81"/>
      <c r="H12" s="79"/>
      <c r="I12" s="79"/>
      <c r="J12" s="79"/>
      <c r="K12" s="78"/>
      <c r="L12" s="78"/>
      <c r="M12" s="79"/>
      <c r="N12" s="141"/>
      <c r="O12" s="78"/>
      <c r="P12" s="143"/>
      <c r="Q12" s="141"/>
      <c r="R12" s="71"/>
      <c r="S12" s="141"/>
      <c r="T12" s="78"/>
      <c r="U12" s="78"/>
      <c r="V12" s="78"/>
      <c r="W12" s="141"/>
      <c r="X12" s="72"/>
      <c r="Y12" s="67"/>
      <c r="AD12" s="80"/>
      <c r="AE12" s="80"/>
      <c r="AF12" s="80"/>
      <c r="AG12" s="80"/>
      <c r="AH12" s="80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7"/>
      <c r="AY12" s="77"/>
      <c r="BB12" s="77"/>
      <c r="BC12" s="31"/>
      <c r="BG12" s="166"/>
      <c r="BH12" s="166"/>
      <c r="BK12" s="166"/>
      <c r="BL12" s="166"/>
      <c r="BN12" s="166"/>
      <c r="BR12" s="137" t="str">
        <f t="shared" si="3"/>
        <v>--</v>
      </c>
      <c r="BS12" s="133" t="str">
        <f t="shared" si="4"/>
        <v>--</v>
      </c>
      <c r="BT12" s="132" t="str">
        <f t="shared" si="5"/>
        <v>--</v>
      </c>
      <c r="BU12" s="132" t="str">
        <f t="shared" si="6"/>
        <v>--</v>
      </c>
      <c r="BV12" s="132" t="str">
        <f t="shared" si="7"/>
        <v>--</v>
      </c>
      <c r="BW12" s="132" t="str">
        <f t="shared" si="8"/>
        <v>--</v>
      </c>
      <c r="BX12" s="132" t="str">
        <f t="shared" si="9"/>
        <v>--</v>
      </c>
      <c r="BY12" s="132" t="str">
        <f t="shared" si="10"/>
        <v>--</v>
      </c>
      <c r="BZ12" s="132" t="str">
        <f t="shared" si="11"/>
        <v>--</v>
      </c>
      <c r="CA12" s="132" t="str">
        <f t="shared" si="12"/>
        <v>--</v>
      </c>
      <c r="CB12" s="132" t="str">
        <f t="shared" si="13"/>
        <v>--</v>
      </c>
    </row>
    <row r="13" spans="1:82" x14ac:dyDescent="0.25">
      <c r="A13" s="97"/>
      <c r="B13" s="27"/>
      <c r="C13" s="27"/>
      <c r="D13" s="73"/>
      <c r="E13" s="69"/>
      <c r="F13" s="70"/>
      <c r="G13" s="81"/>
      <c r="H13" s="69"/>
      <c r="I13" s="69"/>
      <c r="J13" s="69"/>
      <c r="K13" s="78"/>
      <c r="L13" s="78"/>
      <c r="M13" s="69"/>
      <c r="N13" s="141"/>
      <c r="O13" s="68"/>
      <c r="P13" s="143"/>
      <c r="Q13" s="141"/>
      <c r="R13" s="71"/>
      <c r="S13" s="141"/>
      <c r="T13" s="68"/>
      <c r="U13" s="78"/>
      <c r="V13" s="68"/>
      <c r="W13" s="141"/>
      <c r="X13" s="72"/>
      <c r="Y13" s="67"/>
      <c r="AD13" s="80"/>
      <c r="AE13" s="80"/>
      <c r="AF13" s="80"/>
      <c r="AG13" s="80"/>
      <c r="AH13" s="80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BC13" s="31"/>
      <c r="BG13" s="166"/>
      <c r="BH13" s="166"/>
      <c r="BK13" s="166"/>
      <c r="BL13" s="166"/>
      <c r="BN13" s="166"/>
      <c r="BR13" s="137" t="str">
        <f t="shared" si="3"/>
        <v>--</v>
      </c>
      <c r="BS13" s="133" t="str">
        <f t="shared" si="4"/>
        <v>--</v>
      </c>
      <c r="BT13" s="132" t="str">
        <f t="shared" si="5"/>
        <v>--</v>
      </c>
      <c r="BU13" s="132" t="str">
        <f t="shared" si="6"/>
        <v>--</v>
      </c>
      <c r="BV13" s="132" t="str">
        <f t="shared" si="7"/>
        <v>--</v>
      </c>
      <c r="BW13" s="132" t="str">
        <f t="shared" si="8"/>
        <v>--</v>
      </c>
      <c r="BX13" s="132" t="str">
        <f t="shared" si="9"/>
        <v>--</v>
      </c>
      <c r="BY13" s="132" t="str">
        <f t="shared" si="10"/>
        <v>--</v>
      </c>
      <c r="BZ13" s="132" t="str">
        <f t="shared" si="11"/>
        <v>--</v>
      </c>
      <c r="CA13" s="132" t="str">
        <f t="shared" si="12"/>
        <v>--</v>
      </c>
      <c r="CB13" s="132" t="str">
        <f t="shared" si="13"/>
        <v>--</v>
      </c>
    </row>
    <row r="14" spans="1:82" x14ac:dyDescent="0.25">
      <c r="A14" s="97"/>
      <c r="B14" s="27"/>
      <c r="C14" s="27"/>
      <c r="D14" s="73"/>
      <c r="E14" s="69"/>
      <c r="F14" s="70"/>
      <c r="G14" s="73"/>
      <c r="H14" s="69"/>
      <c r="I14" s="69"/>
      <c r="J14" s="69"/>
      <c r="K14" s="78"/>
      <c r="L14" s="78"/>
      <c r="M14" s="69"/>
      <c r="N14" s="141"/>
      <c r="O14" s="69"/>
      <c r="P14" s="74"/>
      <c r="Q14" s="141"/>
      <c r="R14" s="69"/>
      <c r="S14" s="141"/>
      <c r="T14" s="69"/>
      <c r="U14" s="79"/>
      <c r="V14" s="69"/>
      <c r="W14" s="141"/>
      <c r="X14" s="74"/>
      <c r="Y14" s="69"/>
      <c r="AD14" s="82"/>
      <c r="AE14" s="82"/>
      <c r="AF14" s="82"/>
      <c r="AG14" s="82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BC14" s="31"/>
      <c r="BG14" s="166"/>
      <c r="BH14" s="166"/>
      <c r="BK14" s="166"/>
      <c r="BL14" s="166"/>
      <c r="BN14" s="166"/>
      <c r="BR14" s="137" t="str">
        <f t="shared" si="3"/>
        <v>--</v>
      </c>
      <c r="BS14" s="133" t="str">
        <f t="shared" si="4"/>
        <v>--</v>
      </c>
      <c r="BT14" s="132" t="str">
        <f t="shared" si="5"/>
        <v>--</v>
      </c>
      <c r="BU14" s="132" t="str">
        <f t="shared" si="6"/>
        <v>--</v>
      </c>
      <c r="BV14" s="132" t="str">
        <f t="shared" si="7"/>
        <v>--</v>
      </c>
      <c r="BW14" s="132" t="str">
        <f t="shared" si="8"/>
        <v>--</v>
      </c>
      <c r="BX14" s="132" t="str">
        <f t="shared" si="9"/>
        <v>--</v>
      </c>
      <c r="BY14" s="132" t="str">
        <f t="shared" si="10"/>
        <v>--</v>
      </c>
      <c r="BZ14" s="132" t="str">
        <f t="shared" si="11"/>
        <v>--</v>
      </c>
      <c r="CA14" s="132" t="str">
        <f t="shared" si="12"/>
        <v>--</v>
      </c>
      <c r="CB14" s="132" t="str">
        <f t="shared" si="13"/>
        <v>--</v>
      </c>
    </row>
    <row r="15" spans="1:82" x14ac:dyDescent="0.25">
      <c r="A15" s="97"/>
      <c r="B15" s="27"/>
      <c r="C15" s="27"/>
      <c r="N15" s="141"/>
      <c r="P15" s="144"/>
      <c r="Q15" s="141"/>
      <c r="S15" s="141"/>
      <c r="W15" s="141"/>
      <c r="BC15" s="31"/>
      <c r="BG15" s="166"/>
      <c r="BH15" s="166"/>
      <c r="BK15" s="166"/>
      <c r="BL15" s="166"/>
      <c r="BN15" s="166"/>
      <c r="BR15" s="137" t="str">
        <f t="shared" si="3"/>
        <v>--</v>
      </c>
      <c r="BS15" s="133" t="str">
        <f t="shared" si="4"/>
        <v>--</v>
      </c>
      <c r="BT15" s="132" t="str">
        <f t="shared" si="5"/>
        <v>--</v>
      </c>
      <c r="BU15" s="132" t="str">
        <f t="shared" si="6"/>
        <v>--</v>
      </c>
      <c r="BV15" s="132" t="str">
        <f t="shared" si="7"/>
        <v>--</v>
      </c>
      <c r="BW15" s="132" t="str">
        <f t="shared" si="8"/>
        <v>--</v>
      </c>
      <c r="BX15" s="132" t="str">
        <f t="shared" si="9"/>
        <v>--</v>
      </c>
      <c r="BY15" s="132" t="str">
        <f t="shared" si="10"/>
        <v>--</v>
      </c>
      <c r="BZ15" s="132" t="str">
        <f t="shared" si="11"/>
        <v>--</v>
      </c>
      <c r="CA15" s="132" t="str">
        <f t="shared" si="12"/>
        <v>--</v>
      </c>
      <c r="CB15" s="132" t="str">
        <f t="shared" si="13"/>
        <v>--</v>
      </c>
    </row>
    <row r="16" spans="1:82" x14ac:dyDescent="0.25">
      <c r="A16" s="97"/>
      <c r="B16" s="27"/>
      <c r="C16" s="27"/>
      <c r="N16" s="141"/>
      <c r="P16" s="144"/>
      <c r="Q16" s="141"/>
      <c r="S16" s="141"/>
      <c r="W16" s="141"/>
      <c r="BC16" s="31"/>
      <c r="BG16" s="166"/>
      <c r="BH16" s="166"/>
      <c r="BK16" s="166"/>
      <c r="BL16" s="166"/>
      <c r="BN16" s="166"/>
      <c r="BR16" s="137" t="str">
        <f t="shared" si="3"/>
        <v>--</v>
      </c>
      <c r="BS16" s="133" t="str">
        <f t="shared" si="4"/>
        <v>--</v>
      </c>
      <c r="BT16" s="132" t="str">
        <f t="shared" si="5"/>
        <v>--</v>
      </c>
      <c r="BU16" s="132" t="str">
        <f t="shared" si="6"/>
        <v>--</v>
      </c>
      <c r="BV16" s="132" t="str">
        <f t="shared" si="7"/>
        <v>--</v>
      </c>
      <c r="BW16" s="132" t="str">
        <f t="shared" si="8"/>
        <v>--</v>
      </c>
      <c r="BX16" s="132" t="str">
        <f t="shared" si="9"/>
        <v>--</v>
      </c>
      <c r="BY16" s="132" t="str">
        <f t="shared" si="10"/>
        <v>--</v>
      </c>
      <c r="BZ16" s="132" t="str">
        <f t="shared" si="11"/>
        <v>--</v>
      </c>
      <c r="CA16" s="132" t="str">
        <f t="shared" si="12"/>
        <v>--</v>
      </c>
      <c r="CB16" s="132" t="str">
        <f t="shared" si="13"/>
        <v>--</v>
      </c>
    </row>
    <row r="17" spans="1:80" x14ac:dyDescent="0.25">
      <c r="A17" s="97"/>
      <c r="B17" s="27"/>
      <c r="C17" s="27"/>
      <c r="G17" s="145"/>
      <c r="N17" s="141"/>
      <c r="P17" s="144"/>
      <c r="Q17" s="141"/>
      <c r="S17" s="141"/>
      <c r="W17" s="141"/>
      <c r="BC17" s="31"/>
      <c r="BG17" s="166"/>
      <c r="BH17" s="166"/>
      <c r="BK17" s="166"/>
      <c r="BL17" s="166"/>
      <c r="BN17" s="166"/>
      <c r="BR17" s="137" t="str">
        <f t="shared" si="3"/>
        <v>--</v>
      </c>
      <c r="BS17" s="133" t="str">
        <f t="shared" si="4"/>
        <v>--</v>
      </c>
      <c r="BT17" s="132" t="str">
        <f t="shared" si="5"/>
        <v>--</v>
      </c>
      <c r="BU17" s="132" t="str">
        <f t="shared" si="6"/>
        <v>--</v>
      </c>
      <c r="BV17" s="132" t="str">
        <f t="shared" si="7"/>
        <v>--</v>
      </c>
      <c r="BW17" s="132" t="str">
        <f t="shared" si="8"/>
        <v>--</v>
      </c>
      <c r="BX17" s="132" t="str">
        <f t="shared" si="9"/>
        <v>--</v>
      </c>
      <c r="BY17" s="132" t="str">
        <f t="shared" si="10"/>
        <v>--</v>
      </c>
      <c r="BZ17" s="132" t="str">
        <f t="shared" si="11"/>
        <v>--</v>
      </c>
      <c r="CA17" s="132" t="str">
        <f t="shared" si="12"/>
        <v>--</v>
      </c>
      <c r="CB17" s="132" t="str">
        <f t="shared" si="13"/>
        <v>--</v>
      </c>
    </row>
    <row r="18" spans="1:80" x14ac:dyDescent="0.25">
      <c r="A18" s="97"/>
      <c r="B18" s="27"/>
      <c r="C18" s="27"/>
      <c r="G18" s="145"/>
      <c r="N18" s="141"/>
      <c r="O18" s="77"/>
      <c r="P18" s="144"/>
      <c r="Q18" s="141"/>
      <c r="S18" s="141"/>
      <c r="W18" s="141"/>
      <c r="BG18" s="166"/>
      <c r="BH18" s="166"/>
      <c r="BK18" s="166"/>
      <c r="BL18" s="166"/>
      <c r="BN18" s="166"/>
      <c r="BR18" s="137" t="str">
        <f t="shared" si="3"/>
        <v>--</v>
      </c>
      <c r="BS18" s="133" t="str">
        <f t="shared" si="4"/>
        <v>--</v>
      </c>
      <c r="BT18" s="132" t="str">
        <f t="shared" si="5"/>
        <v>--</v>
      </c>
      <c r="BU18" s="132" t="str">
        <f t="shared" si="6"/>
        <v>--</v>
      </c>
      <c r="BV18" s="132" t="str">
        <f t="shared" si="7"/>
        <v>--</v>
      </c>
      <c r="BW18" s="132" t="str">
        <f t="shared" si="8"/>
        <v>--</v>
      </c>
      <c r="BX18" s="132" t="str">
        <f t="shared" si="9"/>
        <v>--</v>
      </c>
      <c r="BY18" s="132" t="str">
        <f t="shared" si="10"/>
        <v>--</v>
      </c>
      <c r="BZ18" s="132" t="str">
        <f t="shared" si="11"/>
        <v>--</v>
      </c>
      <c r="CA18" s="132" t="str">
        <f t="shared" si="12"/>
        <v>--</v>
      </c>
      <c r="CB18" s="132" t="str">
        <f t="shared" si="13"/>
        <v>--</v>
      </c>
    </row>
    <row r="19" spans="1:80" x14ac:dyDescent="0.25">
      <c r="A19" s="97"/>
      <c r="B19" s="27"/>
      <c r="C19" s="27"/>
      <c r="N19" s="141"/>
      <c r="P19" s="144"/>
      <c r="Q19" s="141"/>
      <c r="S19" s="141"/>
      <c r="W19" s="141"/>
      <c r="BG19" s="166"/>
      <c r="BH19" s="166"/>
      <c r="BK19" s="166"/>
      <c r="BL19" s="166"/>
      <c r="BN19" s="166"/>
      <c r="BR19" s="137" t="str">
        <f t="shared" si="3"/>
        <v>--</v>
      </c>
      <c r="BS19" s="133" t="str">
        <f t="shared" si="4"/>
        <v>--</v>
      </c>
      <c r="BT19" s="132" t="str">
        <f t="shared" si="5"/>
        <v>--</v>
      </c>
      <c r="BU19" s="132" t="str">
        <f t="shared" si="6"/>
        <v>--</v>
      </c>
      <c r="BV19" s="132" t="str">
        <f t="shared" si="7"/>
        <v>--</v>
      </c>
      <c r="BW19" s="132" t="str">
        <f t="shared" si="8"/>
        <v>--</v>
      </c>
      <c r="BX19" s="132" t="str">
        <f t="shared" si="9"/>
        <v>--</v>
      </c>
      <c r="BY19" s="132" t="str">
        <f t="shared" si="10"/>
        <v>--</v>
      </c>
      <c r="BZ19" s="132" t="str">
        <f t="shared" si="11"/>
        <v>--</v>
      </c>
      <c r="CA19" s="132" t="str">
        <f t="shared" si="12"/>
        <v>--</v>
      </c>
      <c r="CB19" s="132" t="str">
        <f t="shared" si="13"/>
        <v>--</v>
      </c>
    </row>
    <row r="20" spans="1:80" x14ac:dyDescent="0.25">
      <c r="A20" s="97"/>
      <c r="B20" s="27"/>
      <c r="C20" s="27"/>
      <c r="N20" s="141"/>
      <c r="P20" s="144"/>
      <c r="Q20" s="141"/>
      <c r="S20" s="141"/>
      <c r="W20" s="141"/>
      <c r="BG20" s="166"/>
      <c r="BH20" s="166"/>
      <c r="BK20" s="166"/>
      <c r="BL20" s="166"/>
      <c r="BN20" s="166"/>
      <c r="BR20" s="137" t="str">
        <f t="shared" si="3"/>
        <v>--</v>
      </c>
      <c r="BS20" s="133" t="str">
        <f t="shared" si="4"/>
        <v>--</v>
      </c>
      <c r="BT20" s="132" t="str">
        <f t="shared" si="5"/>
        <v>--</v>
      </c>
      <c r="BU20" s="132" t="str">
        <f t="shared" si="6"/>
        <v>--</v>
      </c>
      <c r="BV20" s="132" t="str">
        <f t="shared" si="7"/>
        <v>--</v>
      </c>
      <c r="BW20" s="132" t="str">
        <f t="shared" si="8"/>
        <v>--</v>
      </c>
      <c r="BX20" s="132" t="str">
        <f t="shared" si="9"/>
        <v>--</v>
      </c>
      <c r="BY20" s="132" t="str">
        <f t="shared" si="10"/>
        <v>--</v>
      </c>
      <c r="BZ20" s="132" t="str">
        <f t="shared" si="11"/>
        <v>--</v>
      </c>
      <c r="CA20" s="132" t="str">
        <f t="shared" si="12"/>
        <v>--</v>
      </c>
      <c r="CB20" s="132" t="str">
        <f t="shared" si="13"/>
        <v>--</v>
      </c>
    </row>
    <row r="21" spans="1:80" x14ac:dyDescent="0.25">
      <c r="A21" s="97"/>
      <c r="B21" s="27"/>
      <c r="C21" s="27"/>
      <c r="N21" s="141"/>
      <c r="P21" s="144"/>
      <c r="Q21" s="141"/>
      <c r="S21" s="141"/>
      <c r="W21" s="141"/>
      <c r="BG21" s="166"/>
      <c r="BH21" s="166"/>
      <c r="BK21" s="166"/>
      <c r="BL21" s="166"/>
      <c r="BN21" s="166"/>
      <c r="BR21" s="137" t="str">
        <f t="shared" si="3"/>
        <v>--</v>
      </c>
      <c r="BS21" s="133" t="str">
        <f t="shared" si="4"/>
        <v>--</v>
      </c>
      <c r="BT21" s="132" t="str">
        <f t="shared" si="5"/>
        <v>--</v>
      </c>
      <c r="BU21" s="132" t="str">
        <f t="shared" si="6"/>
        <v>--</v>
      </c>
      <c r="BV21" s="132" t="str">
        <f t="shared" si="7"/>
        <v>--</v>
      </c>
      <c r="BW21" s="132" t="str">
        <f t="shared" si="8"/>
        <v>--</v>
      </c>
      <c r="BX21" s="132" t="str">
        <f t="shared" si="9"/>
        <v>--</v>
      </c>
      <c r="BY21" s="132" t="str">
        <f t="shared" si="10"/>
        <v>--</v>
      </c>
      <c r="BZ21" s="132" t="str">
        <f t="shared" si="11"/>
        <v>--</v>
      </c>
      <c r="CA21" s="132" t="str">
        <f t="shared" si="12"/>
        <v>--</v>
      </c>
      <c r="CB21" s="132" t="str">
        <f t="shared" si="13"/>
        <v>--</v>
      </c>
    </row>
    <row r="22" spans="1:80" x14ac:dyDescent="0.25">
      <c r="A22" s="97"/>
      <c r="B22" s="27"/>
      <c r="C22" s="27"/>
      <c r="N22" s="141"/>
      <c r="P22" s="144"/>
      <c r="Q22" s="141"/>
      <c r="S22" s="141"/>
      <c r="W22" s="141"/>
      <c r="BG22" s="166"/>
      <c r="BH22" s="166"/>
      <c r="BK22" s="166"/>
      <c r="BL22" s="166"/>
      <c r="BN22" s="166"/>
      <c r="BR22" s="137" t="str">
        <f t="shared" si="3"/>
        <v>--</v>
      </c>
      <c r="BS22" s="133" t="str">
        <f t="shared" si="4"/>
        <v>--</v>
      </c>
      <c r="BT22" s="132" t="str">
        <f t="shared" si="5"/>
        <v>--</v>
      </c>
      <c r="BU22" s="132" t="str">
        <f t="shared" si="6"/>
        <v>--</v>
      </c>
      <c r="BV22" s="132" t="str">
        <f t="shared" si="7"/>
        <v>--</v>
      </c>
      <c r="BW22" s="132" t="str">
        <f t="shared" si="8"/>
        <v>--</v>
      </c>
      <c r="BX22" s="132" t="str">
        <f t="shared" si="9"/>
        <v>--</v>
      </c>
      <c r="BY22" s="132" t="str">
        <f t="shared" si="10"/>
        <v>--</v>
      </c>
      <c r="BZ22" s="132" t="str">
        <f t="shared" si="11"/>
        <v>--</v>
      </c>
      <c r="CA22" s="132" t="str">
        <f t="shared" si="12"/>
        <v>--</v>
      </c>
      <c r="CB22" s="132" t="str">
        <f t="shared" si="13"/>
        <v>--</v>
      </c>
    </row>
    <row r="23" spans="1:80" x14ac:dyDescent="0.25">
      <c r="A23" s="97"/>
      <c r="B23" s="27"/>
      <c r="C23" s="27"/>
      <c r="N23" s="141"/>
      <c r="P23" s="144"/>
      <c r="Q23" s="141"/>
      <c r="S23" s="141"/>
      <c r="W23" s="141"/>
      <c r="BG23" s="166"/>
      <c r="BH23" s="166"/>
      <c r="BK23" s="166"/>
      <c r="BL23" s="166"/>
      <c r="BN23" s="166"/>
      <c r="BR23" s="137" t="str">
        <f t="shared" si="3"/>
        <v>--</v>
      </c>
      <c r="BS23" s="133" t="str">
        <f t="shared" si="4"/>
        <v>--</v>
      </c>
      <c r="BT23" s="132" t="str">
        <f t="shared" si="5"/>
        <v>--</v>
      </c>
      <c r="BU23" s="132" t="str">
        <f t="shared" si="6"/>
        <v>--</v>
      </c>
      <c r="BV23" s="132" t="str">
        <f t="shared" si="7"/>
        <v>--</v>
      </c>
      <c r="BW23" s="132" t="str">
        <f t="shared" si="8"/>
        <v>--</v>
      </c>
      <c r="BX23" s="132" t="str">
        <f t="shared" si="9"/>
        <v>--</v>
      </c>
      <c r="BY23" s="132" t="str">
        <f t="shared" si="10"/>
        <v>--</v>
      </c>
      <c r="BZ23" s="132" t="str">
        <f t="shared" si="11"/>
        <v>--</v>
      </c>
      <c r="CA23" s="132" t="str">
        <f t="shared" si="12"/>
        <v>--</v>
      </c>
      <c r="CB23" s="132" t="str">
        <f t="shared" si="13"/>
        <v>--</v>
      </c>
    </row>
    <row r="24" spans="1:80" x14ac:dyDescent="0.25">
      <c r="A24" s="97"/>
      <c r="B24" s="27"/>
      <c r="C24" s="27"/>
      <c r="N24" s="141"/>
      <c r="P24" s="144"/>
      <c r="Q24" s="141"/>
      <c r="S24" s="141"/>
      <c r="W24" s="141"/>
      <c r="BG24" s="166"/>
      <c r="BH24" s="166"/>
      <c r="BK24" s="166"/>
      <c r="BL24" s="166"/>
      <c r="BN24" s="166"/>
      <c r="BR24" s="137" t="str">
        <f t="shared" si="3"/>
        <v>--</v>
      </c>
      <c r="BS24" s="133" t="str">
        <f t="shared" si="4"/>
        <v>--</v>
      </c>
      <c r="BT24" s="132" t="str">
        <f t="shared" si="5"/>
        <v>--</v>
      </c>
      <c r="BU24" s="132" t="str">
        <f t="shared" si="6"/>
        <v>--</v>
      </c>
      <c r="BV24" s="132" t="str">
        <f t="shared" si="7"/>
        <v>--</v>
      </c>
      <c r="BW24" s="132" t="str">
        <f t="shared" si="8"/>
        <v>--</v>
      </c>
      <c r="BX24" s="132" t="str">
        <f t="shared" si="9"/>
        <v>--</v>
      </c>
      <c r="BY24" s="132" t="str">
        <f t="shared" si="10"/>
        <v>--</v>
      </c>
      <c r="BZ24" s="132" t="str">
        <f t="shared" si="11"/>
        <v>--</v>
      </c>
      <c r="CA24" s="132" t="str">
        <f t="shared" si="12"/>
        <v>--</v>
      </c>
      <c r="CB24" s="132" t="str">
        <f t="shared" si="13"/>
        <v>--</v>
      </c>
    </row>
    <row r="25" spans="1:80" x14ac:dyDescent="0.25">
      <c r="A25" s="97"/>
      <c r="B25" s="27"/>
      <c r="C25" s="27"/>
      <c r="N25" s="141"/>
      <c r="P25" s="144"/>
      <c r="Q25" s="141"/>
      <c r="S25" s="141"/>
      <c r="W25" s="141"/>
      <c r="BG25" s="166"/>
      <c r="BH25" s="166"/>
      <c r="BK25" s="166"/>
      <c r="BL25" s="166"/>
      <c r="BN25" s="166"/>
      <c r="BR25" s="137" t="str">
        <f t="shared" si="3"/>
        <v>--</v>
      </c>
      <c r="BS25" s="133" t="str">
        <f t="shared" si="4"/>
        <v>--</v>
      </c>
      <c r="BT25" s="132" t="str">
        <f t="shared" si="5"/>
        <v>--</v>
      </c>
      <c r="BU25" s="132" t="str">
        <f t="shared" si="6"/>
        <v>--</v>
      </c>
      <c r="BV25" s="132" t="str">
        <f t="shared" si="7"/>
        <v>--</v>
      </c>
      <c r="BW25" s="132" t="str">
        <f t="shared" si="8"/>
        <v>--</v>
      </c>
      <c r="BX25" s="132" t="str">
        <f t="shared" si="9"/>
        <v>--</v>
      </c>
      <c r="BY25" s="132" t="str">
        <f t="shared" si="10"/>
        <v>--</v>
      </c>
      <c r="BZ25" s="132" t="str">
        <f t="shared" si="11"/>
        <v>--</v>
      </c>
      <c r="CA25" s="132" t="str">
        <f t="shared" si="12"/>
        <v>--</v>
      </c>
      <c r="CB25" s="132" t="str">
        <f t="shared" si="13"/>
        <v>--</v>
      </c>
    </row>
    <row r="26" spans="1:80" x14ac:dyDescent="0.25">
      <c r="A26" s="97"/>
      <c r="B26" s="27"/>
      <c r="C26" s="27"/>
      <c r="N26" s="141"/>
      <c r="P26" s="144"/>
      <c r="Q26" s="141"/>
      <c r="S26" s="141"/>
      <c r="W26" s="141"/>
      <c r="BG26" s="166"/>
      <c r="BH26" s="166"/>
      <c r="BK26" s="166"/>
      <c r="BL26" s="166"/>
      <c r="BN26" s="166"/>
      <c r="BR26" s="137" t="str">
        <f t="shared" si="3"/>
        <v>--</v>
      </c>
      <c r="BS26" s="133" t="str">
        <f t="shared" si="4"/>
        <v>--</v>
      </c>
      <c r="BT26" s="132" t="str">
        <f t="shared" si="5"/>
        <v>--</v>
      </c>
      <c r="BU26" s="132" t="str">
        <f t="shared" si="6"/>
        <v>--</v>
      </c>
      <c r="BV26" s="132" t="str">
        <f t="shared" si="7"/>
        <v>--</v>
      </c>
      <c r="BW26" s="132" t="str">
        <f t="shared" si="8"/>
        <v>--</v>
      </c>
      <c r="BX26" s="132" t="str">
        <f t="shared" si="9"/>
        <v>--</v>
      </c>
      <c r="BY26" s="132" t="str">
        <f t="shared" si="10"/>
        <v>--</v>
      </c>
      <c r="BZ26" s="132" t="str">
        <f t="shared" si="11"/>
        <v>--</v>
      </c>
      <c r="CA26" s="132" t="str">
        <f t="shared" si="12"/>
        <v>--</v>
      </c>
      <c r="CB26" s="132" t="str">
        <f t="shared" si="13"/>
        <v>--</v>
      </c>
    </row>
    <row r="27" spans="1:80" x14ac:dyDescent="0.25">
      <c r="A27" s="97"/>
      <c r="B27" s="27"/>
      <c r="C27" s="27"/>
      <c r="N27" s="141"/>
      <c r="P27" s="144"/>
      <c r="Q27" s="141"/>
      <c r="S27" s="141"/>
      <c r="W27" s="141"/>
      <c r="BG27" s="166"/>
      <c r="BH27" s="166"/>
      <c r="BK27" s="166"/>
      <c r="BL27" s="166"/>
      <c r="BN27" s="166"/>
      <c r="BR27" s="137" t="str">
        <f t="shared" si="3"/>
        <v>--</v>
      </c>
      <c r="BS27" s="133" t="str">
        <f t="shared" si="4"/>
        <v>--</v>
      </c>
      <c r="BT27" s="132" t="str">
        <f t="shared" si="5"/>
        <v>--</v>
      </c>
      <c r="BU27" s="132" t="str">
        <f t="shared" si="6"/>
        <v>--</v>
      </c>
      <c r="BV27" s="132" t="str">
        <f t="shared" si="7"/>
        <v>--</v>
      </c>
      <c r="BW27" s="132" t="str">
        <f t="shared" si="8"/>
        <v>--</v>
      </c>
      <c r="BX27" s="132" t="str">
        <f t="shared" si="9"/>
        <v>--</v>
      </c>
      <c r="BY27" s="132" t="str">
        <f t="shared" si="10"/>
        <v>--</v>
      </c>
      <c r="BZ27" s="132" t="str">
        <f t="shared" si="11"/>
        <v>--</v>
      </c>
      <c r="CA27" s="132" t="str">
        <f t="shared" si="12"/>
        <v>--</v>
      </c>
      <c r="CB27" s="132" t="str">
        <f t="shared" si="13"/>
        <v>--</v>
      </c>
    </row>
    <row r="28" spans="1:80" x14ac:dyDescent="0.25">
      <c r="A28" s="97"/>
      <c r="B28" s="27"/>
      <c r="C28" s="27"/>
      <c r="N28" s="141"/>
      <c r="P28" s="144"/>
      <c r="Q28" s="141"/>
      <c r="S28" s="141"/>
      <c r="W28" s="141"/>
      <c r="BG28" s="166"/>
      <c r="BH28" s="166"/>
      <c r="BK28" s="166"/>
      <c r="BL28" s="166"/>
      <c r="BN28" s="166"/>
      <c r="BR28" s="137" t="str">
        <f t="shared" si="3"/>
        <v>--</v>
      </c>
      <c r="BS28" s="133" t="str">
        <f t="shared" si="4"/>
        <v>--</v>
      </c>
      <c r="BT28" s="132" t="str">
        <f t="shared" si="5"/>
        <v>--</v>
      </c>
      <c r="BU28" s="132" t="str">
        <f t="shared" si="6"/>
        <v>--</v>
      </c>
      <c r="BV28" s="132" t="str">
        <f t="shared" si="7"/>
        <v>--</v>
      </c>
      <c r="BW28" s="132" t="str">
        <f t="shared" si="8"/>
        <v>--</v>
      </c>
      <c r="BX28" s="132" t="str">
        <f t="shared" si="9"/>
        <v>--</v>
      </c>
      <c r="BY28" s="132" t="str">
        <f t="shared" si="10"/>
        <v>--</v>
      </c>
      <c r="BZ28" s="132" t="str">
        <f t="shared" si="11"/>
        <v>--</v>
      </c>
      <c r="CA28" s="132" t="str">
        <f t="shared" si="12"/>
        <v>--</v>
      </c>
      <c r="CB28" s="132" t="str">
        <f t="shared" si="13"/>
        <v>--</v>
      </c>
    </row>
    <row r="29" spans="1:80" x14ac:dyDescent="0.25">
      <c r="A29" s="97"/>
      <c r="B29" s="27"/>
      <c r="C29" s="27"/>
      <c r="N29" s="141"/>
      <c r="P29" s="144"/>
      <c r="Q29" s="141"/>
      <c r="S29" s="141"/>
      <c r="W29" s="141"/>
      <c r="BG29" s="166"/>
      <c r="BH29" s="166"/>
      <c r="BK29" s="166"/>
      <c r="BL29" s="166"/>
      <c r="BN29" s="166"/>
      <c r="BR29" s="137" t="str">
        <f t="shared" si="3"/>
        <v>--</v>
      </c>
      <c r="BS29" s="133" t="str">
        <f t="shared" si="4"/>
        <v>--</v>
      </c>
      <c r="BT29" s="132" t="str">
        <f t="shared" si="5"/>
        <v>--</v>
      </c>
      <c r="BU29" s="132" t="str">
        <f t="shared" si="6"/>
        <v>--</v>
      </c>
      <c r="BV29" s="132" t="str">
        <f t="shared" si="7"/>
        <v>--</v>
      </c>
      <c r="BW29" s="132" t="str">
        <f t="shared" si="8"/>
        <v>--</v>
      </c>
      <c r="BX29" s="132" t="str">
        <f t="shared" si="9"/>
        <v>--</v>
      </c>
      <c r="BY29" s="132" t="str">
        <f t="shared" si="10"/>
        <v>--</v>
      </c>
      <c r="BZ29" s="132" t="str">
        <f t="shared" si="11"/>
        <v>--</v>
      </c>
      <c r="CA29" s="132" t="str">
        <f t="shared" si="12"/>
        <v>--</v>
      </c>
      <c r="CB29" s="132" t="str">
        <f t="shared" si="13"/>
        <v>--</v>
      </c>
    </row>
    <row r="30" spans="1:80" x14ac:dyDescent="0.25">
      <c r="A30" s="97"/>
      <c r="B30" s="27"/>
      <c r="C30" s="27"/>
      <c r="N30" s="141"/>
      <c r="P30" s="144"/>
      <c r="Q30" s="141"/>
      <c r="S30" s="141"/>
      <c r="W30" s="141"/>
      <c r="BG30" s="166"/>
      <c r="BH30" s="166"/>
      <c r="BK30" s="166"/>
      <c r="BL30" s="166"/>
      <c r="BN30" s="166"/>
      <c r="BR30" s="137" t="str">
        <f t="shared" si="3"/>
        <v>--</v>
      </c>
      <c r="BS30" s="133" t="str">
        <f t="shared" si="4"/>
        <v>--</v>
      </c>
      <c r="BT30" s="132" t="str">
        <f t="shared" si="5"/>
        <v>--</v>
      </c>
      <c r="BU30" s="132" t="str">
        <f t="shared" si="6"/>
        <v>--</v>
      </c>
      <c r="BV30" s="132" t="str">
        <f t="shared" si="7"/>
        <v>--</v>
      </c>
      <c r="BW30" s="132" t="str">
        <f t="shared" si="8"/>
        <v>--</v>
      </c>
      <c r="BX30" s="132" t="str">
        <f t="shared" si="9"/>
        <v>--</v>
      </c>
      <c r="BY30" s="132" t="str">
        <f t="shared" si="10"/>
        <v>--</v>
      </c>
      <c r="BZ30" s="132" t="str">
        <f t="shared" si="11"/>
        <v>--</v>
      </c>
      <c r="CA30" s="132" t="str">
        <f t="shared" si="12"/>
        <v>--</v>
      </c>
      <c r="CB30" s="132" t="str">
        <f t="shared" si="13"/>
        <v>--</v>
      </c>
    </row>
    <row r="31" spans="1:80" x14ac:dyDescent="0.25">
      <c r="A31" s="97"/>
      <c r="B31" s="27"/>
      <c r="C31" s="27"/>
      <c r="N31" s="141"/>
      <c r="P31" s="144"/>
      <c r="Q31" s="141"/>
      <c r="S31" s="141"/>
      <c r="W31" s="141"/>
      <c r="BG31" s="166"/>
      <c r="BH31" s="166"/>
      <c r="BK31" s="166"/>
      <c r="BL31" s="166"/>
      <c r="BN31" s="166"/>
      <c r="BR31" s="137" t="str">
        <f t="shared" si="3"/>
        <v>--</v>
      </c>
      <c r="BS31" s="133" t="str">
        <f t="shared" si="4"/>
        <v>--</v>
      </c>
      <c r="BT31" s="132" t="str">
        <f t="shared" si="5"/>
        <v>--</v>
      </c>
      <c r="BU31" s="132" t="str">
        <f t="shared" si="6"/>
        <v>--</v>
      </c>
      <c r="BV31" s="132" t="str">
        <f t="shared" si="7"/>
        <v>--</v>
      </c>
      <c r="BW31" s="132" t="str">
        <f t="shared" si="8"/>
        <v>--</v>
      </c>
      <c r="BX31" s="132" t="str">
        <f t="shared" si="9"/>
        <v>--</v>
      </c>
      <c r="BY31" s="132" t="str">
        <f t="shared" si="10"/>
        <v>--</v>
      </c>
      <c r="BZ31" s="132" t="str">
        <f t="shared" si="11"/>
        <v>--</v>
      </c>
      <c r="CA31" s="132" t="str">
        <f t="shared" si="12"/>
        <v>--</v>
      </c>
      <c r="CB31" s="132" t="str">
        <f t="shared" si="13"/>
        <v>--</v>
      </c>
    </row>
    <row r="32" spans="1:80" x14ac:dyDescent="0.25">
      <c r="A32" s="97"/>
      <c r="B32" s="27"/>
      <c r="C32" s="27"/>
      <c r="N32" s="141"/>
      <c r="P32" s="144"/>
      <c r="Q32" s="141"/>
      <c r="S32" s="141"/>
      <c r="W32" s="141"/>
      <c r="BG32" s="166"/>
      <c r="BH32" s="166"/>
      <c r="BK32" s="166"/>
      <c r="BL32" s="166"/>
      <c r="BN32" s="166"/>
      <c r="BR32" s="137" t="str">
        <f t="shared" si="3"/>
        <v>--</v>
      </c>
      <c r="BS32" s="133" t="str">
        <f t="shared" si="4"/>
        <v>--</v>
      </c>
      <c r="BT32" s="132" t="str">
        <f t="shared" si="5"/>
        <v>--</v>
      </c>
      <c r="BU32" s="132" t="str">
        <f t="shared" si="6"/>
        <v>--</v>
      </c>
      <c r="BV32" s="132" t="str">
        <f t="shared" si="7"/>
        <v>--</v>
      </c>
      <c r="BW32" s="132" t="str">
        <f t="shared" si="8"/>
        <v>--</v>
      </c>
      <c r="BX32" s="132" t="str">
        <f t="shared" si="9"/>
        <v>--</v>
      </c>
      <c r="BY32" s="132" t="str">
        <f t="shared" si="10"/>
        <v>--</v>
      </c>
      <c r="BZ32" s="132" t="str">
        <f t="shared" si="11"/>
        <v>--</v>
      </c>
      <c r="CA32" s="132" t="str">
        <f t="shared" si="12"/>
        <v>--</v>
      </c>
      <c r="CB32" s="132" t="str">
        <f t="shared" si="13"/>
        <v>--</v>
      </c>
    </row>
    <row r="33" spans="1:80" x14ac:dyDescent="0.25">
      <c r="A33" s="97"/>
      <c r="B33" s="27"/>
      <c r="C33" s="27"/>
      <c r="N33" s="141"/>
      <c r="P33" s="144"/>
      <c r="Q33" s="141"/>
      <c r="S33" s="141"/>
      <c r="W33" s="141"/>
      <c r="BG33" s="166"/>
      <c r="BH33" s="166"/>
      <c r="BK33" s="166"/>
      <c r="BL33" s="166"/>
      <c r="BN33" s="166"/>
      <c r="BR33" s="137" t="str">
        <f t="shared" si="3"/>
        <v>--</v>
      </c>
      <c r="BS33" s="133" t="str">
        <f t="shared" si="4"/>
        <v>--</v>
      </c>
      <c r="BT33" s="132" t="str">
        <f t="shared" si="5"/>
        <v>--</v>
      </c>
      <c r="BU33" s="132" t="str">
        <f t="shared" si="6"/>
        <v>--</v>
      </c>
      <c r="BV33" s="132" t="str">
        <f t="shared" si="7"/>
        <v>--</v>
      </c>
      <c r="BW33" s="132" t="str">
        <f t="shared" si="8"/>
        <v>--</v>
      </c>
      <c r="BX33" s="132" t="str">
        <f t="shared" si="9"/>
        <v>--</v>
      </c>
      <c r="BY33" s="132" t="str">
        <f t="shared" si="10"/>
        <v>--</v>
      </c>
      <c r="BZ33" s="132" t="str">
        <f t="shared" si="11"/>
        <v>--</v>
      </c>
      <c r="CA33" s="132" t="str">
        <f t="shared" si="12"/>
        <v>--</v>
      </c>
      <c r="CB33" s="132" t="str">
        <f t="shared" si="13"/>
        <v>--</v>
      </c>
    </row>
    <row r="34" spans="1:80" x14ac:dyDescent="0.25">
      <c r="A34" s="97"/>
      <c r="B34" s="27"/>
      <c r="C34" s="27"/>
      <c r="N34" s="141"/>
      <c r="P34" s="144"/>
      <c r="Q34" s="141"/>
      <c r="S34" s="141"/>
      <c r="W34" s="141"/>
      <c r="BG34" s="166"/>
      <c r="BH34" s="166"/>
      <c r="BK34" s="166"/>
      <c r="BL34" s="166"/>
      <c r="BN34" s="166"/>
      <c r="BR34" s="137" t="str">
        <f t="shared" si="3"/>
        <v>--</v>
      </c>
      <c r="BS34" s="133" t="str">
        <f t="shared" si="4"/>
        <v>--</v>
      </c>
      <c r="BT34" s="132" t="str">
        <f t="shared" si="5"/>
        <v>--</v>
      </c>
      <c r="BU34" s="132" t="str">
        <f t="shared" si="6"/>
        <v>--</v>
      </c>
      <c r="BV34" s="132" t="str">
        <f t="shared" si="7"/>
        <v>--</v>
      </c>
      <c r="BW34" s="132" t="str">
        <f t="shared" si="8"/>
        <v>--</v>
      </c>
      <c r="BX34" s="132" t="str">
        <f t="shared" si="9"/>
        <v>--</v>
      </c>
      <c r="BY34" s="132" t="str">
        <f t="shared" si="10"/>
        <v>--</v>
      </c>
      <c r="BZ34" s="132" t="str">
        <f t="shared" si="11"/>
        <v>--</v>
      </c>
      <c r="CA34" s="132" t="str">
        <f t="shared" si="12"/>
        <v>--</v>
      </c>
      <c r="CB34" s="132" t="str">
        <f t="shared" si="13"/>
        <v>--</v>
      </c>
    </row>
    <row r="35" spans="1:80" x14ac:dyDescent="0.25">
      <c r="A35" s="97"/>
      <c r="B35" s="27"/>
      <c r="C35" s="27"/>
      <c r="N35" s="141"/>
      <c r="P35" s="144"/>
      <c r="Q35" s="141"/>
      <c r="S35" s="141"/>
      <c r="W35" s="141"/>
      <c r="BG35" s="166"/>
      <c r="BH35" s="166"/>
      <c r="BK35" s="166"/>
      <c r="BL35" s="166"/>
      <c r="BN35" s="166"/>
      <c r="BR35" s="137" t="str">
        <f t="shared" si="3"/>
        <v>--</v>
      </c>
      <c r="BS35" s="133" t="str">
        <f t="shared" si="4"/>
        <v>--</v>
      </c>
      <c r="BT35" s="132" t="str">
        <f t="shared" si="5"/>
        <v>--</v>
      </c>
      <c r="BU35" s="132" t="str">
        <f t="shared" si="6"/>
        <v>--</v>
      </c>
      <c r="BV35" s="132" t="str">
        <f t="shared" si="7"/>
        <v>--</v>
      </c>
      <c r="BW35" s="132" t="str">
        <f t="shared" si="8"/>
        <v>--</v>
      </c>
      <c r="BX35" s="132" t="str">
        <f t="shared" si="9"/>
        <v>--</v>
      </c>
      <c r="BY35" s="132" t="str">
        <f t="shared" si="10"/>
        <v>--</v>
      </c>
      <c r="BZ35" s="132" t="str">
        <f t="shared" si="11"/>
        <v>--</v>
      </c>
      <c r="CA35" s="132" t="str">
        <f t="shared" si="12"/>
        <v>--</v>
      </c>
      <c r="CB35" s="132" t="str">
        <f t="shared" si="13"/>
        <v>--</v>
      </c>
    </row>
    <row r="36" spans="1:80" x14ac:dyDescent="0.25">
      <c r="A36" s="97"/>
      <c r="B36" s="27"/>
      <c r="C36" s="27"/>
      <c r="N36" s="141"/>
      <c r="P36" s="144"/>
      <c r="Q36" s="141"/>
      <c r="S36" s="141"/>
      <c r="W36" s="141"/>
      <c r="BG36" s="166"/>
      <c r="BH36" s="166"/>
      <c r="BK36" s="166"/>
      <c r="BL36" s="166"/>
      <c r="BN36" s="166"/>
      <c r="BR36" s="137" t="str">
        <f t="shared" si="3"/>
        <v>--</v>
      </c>
      <c r="BS36" s="133" t="str">
        <f t="shared" si="4"/>
        <v>--</v>
      </c>
      <c r="BT36" s="132" t="str">
        <f t="shared" si="5"/>
        <v>--</v>
      </c>
      <c r="BU36" s="132" t="str">
        <f t="shared" si="6"/>
        <v>--</v>
      </c>
      <c r="BV36" s="132" t="str">
        <f t="shared" si="7"/>
        <v>--</v>
      </c>
      <c r="BW36" s="132" t="str">
        <f t="shared" si="8"/>
        <v>--</v>
      </c>
      <c r="BX36" s="132" t="str">
        <f t="shared" si="9"/>
        <v>--</v>
      </c>
      <c r="BY36" s="132" t="str">
        <f t="shared" si="10"/>
        <v>--</v>
      </c>
      <c r="BZ36" s="132" t="str">
        <f t="shared" si="11"/>
        <v>--</v>
      </c>
      <c r="CA36" s="132" t="str">
        <f t="shared" si="12"/>
        <v>--</v>
      </c>
      <c r="CB36" s="132" t="str">
        <f t="shared" si="13"/>
        <v>--</v>
      </c>
    </row>
    <row r="37" spans="1:80" x14ac:dyDescent="0.25">
      <c r="A37" s="97"/>
      <c r="B37" s="27"/>
      <c r="C37" s="27"/>
      <c r="N37" s="141"/>
      <c r="P37" s="144"/>
      <c r="Q37" s="141"/>
      <c r="S37" s="141"/>
      <c r="W37" s="141"/>
      <c r="BG37" s="166"/>
      <c r="BH37" s="166"/>
      <c r="BK37" s="166"/>
      <c r="BL37" s="166"/>
      <c r="BN37" s="166"/>
      <c r="BR37" s="137" t="str">
        <f t="shared" si="3"/>
        <v>--</v>
      </c>
      <c r="BS37" s="133" t="str">
        <f t="shared" si="4"/>
        <v>--</v>
      </c>
      <c r="BT37" s="132" t="str">
        <f t="shared" si="5"/>
        <v>--</v>
      </c>
      <c r="BU37" s="132" t="str">
        <f t="shared" si="6"/>
        <v>--</v>
      </c>
      <c r="BV37" s="132" t="str">
        <f t="shared" si="7"/>
        <v>--</v>
      </c>
      <c r="BW37" s="132" t="str">
        <f t="shared" si="8"/>
        <v>--</v>
      </c>
      <c r="BX37" s="132" t="str">
        <f t="shared" si="9"/>
        <v>--</v>
      </c>
      <c r="BY37" s="132" t="str">
        <f t="shared" si="10"/>
        <v>--</v>
      </c>
      <c r="BZ37" s="132" t="str">
        <f t="shared" si="11"/>
        <v>--</v>
      </c>
      <c r="CA37" s="132" t="str">
        <f t="shared" si="12"/>
        <v>--</v>
      </c>
      <c r="CB37" s="132" t="str">
        <f t="shared" si="13"/>
        <v>--</v>
      </c>
    </row>
    <row r="38" spans="1:80" x14ac:dyDescent="0.25">
      <c r="A38" s="97"/>
      <c r="B38" s="27"/>
      <c r="C38" s="27"/>
      <c r="N38" s="141"/>
      <c r="P38" s="144"/>
      <c r="Q38" s="141"/>
      <c r="S38" s="141"/>
      <c r="W38" s="141"/>
      <c r="BG38" s="166"/>
      <c r="BH38" s="166"/>
      <c r="BK38" s="166"/>
      <c r="BL38" s="166"/>
      <c r="BN38" s="166"/>
      <c r="BR38" s="137" t="str">
        <f t="shared" si="3"/>
        <v>--</v>
      </c>
      <c r="BS38" s="133" t="str">
        <f t="shared" si="4"/>
        <v>--</v>
      </c>
      <c r="BT38" s="132" t="str">
        <f t="shared" si="5"/>
        <v>--</v>
      </c>
      <c r="BU38" s="132" t="str">
        <f t="shared" si="6"/>
        <v>--</v>
      </c>
      <c r="BV38" s="132" t="str">
        <f t="shared" si="7"/>
        <v>--</v>
      </c>
      <c r="BW38" s="132" t="str">
        <f t="shared" si="8"/>
        <v>--</v>
      </c>
      <c r="BX38" s="132" t="str">
        <f t="shared" si="9"/>
        <v>--</v>
      </c>
      <c r="BY38" s="132" t="str">
        <f t="shared" si="10"/>
        <v>--</v>
      </c>
      <c r="BZ38" s="132" t="str">
        <f t="shared" si="11"/>
        <v>--</v>
      </c>
      <c r="CA38" s="132" t="str">
        <f t="shared" si="12"/>
        <v>--</v>
      </c>
      <c r="CB38" s="132" t="str">
        <f t="shared" si="13"/>
        <v>--</v>
      </c>
    </row>
    <row r="39" spans="1:80" x14ac:dyDescent="0.25">
      <c r="A39" s="97"/>
      <c r="B39" s="27"/>
      <c r="C39" s="27"/>
      <c r="N39" s="141"/>
      <c r="P39" s="144"/>
      <c r="Q39" s="141"/>
      <c r="S39" s="141"/>
      <c r="W39" s="141"/>
      <c r="BG39" s="166"/>
      <c r="BH39" s="166"/>
      <c r="BK39" s="166"/>
      <c r="BL39" s="166"/>
      <c r="BN39" s="166"/>
      <c r="BR39" s="137" t="str">
        <f t="shared" si="3"/>
        <v>--</v>
      </c>
      <c r="BS39" s="133" t="str">
        <f t="shared" si="4"/>
        <v>--</v>
      </c>
      <c r="BT39" s="132" t="str">
        <f t="shared" si="5"/>
        <v>--</v>
      </c>
      <c r="BU39" s="132" t="str">
        <f t="shared" si="6"/>
        <v>--</v>
      </c>
      <c r="BV39" s="132" t="str">
        <f t="shared" si="7"/>
        <v>--</v>
      </c>
      <c r="BW39" s="132" t="str">
        <f t="shared" si="8"/>
        <v>--</v>
      </c>
      <c r="BX39" s="132" t="str">
        <f t="shared" si="9"/>
        <v>--</v>
      </c>
      <c r="BY39" s="132" t="str">
        <f t="shared" si="10"/>
        <v>--</v>
      </c>
      <c r="BZ39" s="132" t="str">
        <f t="shared" si="11"/>
        <v>--</v>
      </c>
      <c r="CA39" s="132" t="str">
        <f t="shared" si="12"/>
        <v>--</v>
      </c>
      <c r="CB39" s="132" t="str">
        <f t="shared" si="13"/>
        <v>--</v>
      </c>
    </row>
    <row r="40" spans="1:80" x14ac:dyDescent="0.25">
      <c r="A40" s="97"/>
      <c r="B40" s="27"/>
      <c r="C40" s="27"/>
      <c r="N40" s="141"/>
      <c r="P40" s="144"/>
      <c r="Q40" s="141"/>
      <c r="S40" s="141"/>
      <c r="W40" s="141"/>
      <c r="BG40" s="166"/>
      <c r="BH40" s="166"/>
      <c r="BK40" s="166"/>
      <c r="BL40" s="166"/>
      <c r="BN40" s="166"/>
      <c r="BR40" s="137" t="str">
        <f t="shared" si="3"/>
        <v>--</v>
      </c>
      <c r="BS40" s="133" t="str">
        <f t="shared" si="4"/>
        <v>--</v>
      </c>
      <c r="BT40" s="132" t="str">
        <f t="shared" si="5"/>
        <v>--</v>
      </c>
      <c r="BU40" s="132" t="str">
        <f t="shared" si="6"/>
        <v>--</v>
      </c>
      <c r="BV40" s="132" t="str">
        <f t="shared" si="7"/>
        <v>--</v>
      </c>
      <c r="BW40" s="132" t="str">
        <f t="shared" si="8"/>
        <v>--</v>
      </c>
      <c r="BX40" s="132" t="str">
        <f t="shared" si="9"/>
        <v>--</v>
      </c>
      <c r="BY40" s="132" t="str">
        <f t="shared" si="10"/>
        <v>--</v>
      </c>
      <c r="BZ40" s="132" t="str">
        <f t="shared" si="11"/>
        <v>--</v>
      </c>
      <c r="CA40" s="132" t="str">
        <f t="shared" si="12"/>
        <v>--</v>
      </c>
      <c r="CB40" s="132" t="str">
        <f t="shared" si="13"/>
        <v>--</v>
      </c>
    </row>
    <row r="41" spans="1:80" x14ac:dyDescent="0.25">
      <c r="B41" s="77"/>
      <c r="C41" s="77"/>
      <c r="N41" s="141"/>
      <c r="O41" s="77"/>
      <c r="P41" s="144"/>
      <c r="Q41" s="141"/>
      <c r="S41" s="141"/>
      <c r="T41" s="77"/>
      <c r="V41" s="77"/>
      <c r="W41" s="141"/>
      <c r="AI41" s="77"/>
      <c r="AL41" s="77"/>
      <c r="AP41" s="77"/>
      <c r="AT41" s="77"/>
      <c r="AU41" s="77"/>
      <c r="AV41" s="77"/>
      <c r="AW41" s="77"/>
      <c r="AX41" s="77"/>
      <c r="AY41" s="77"/>
      <c r="BB41" s="77"/>
      <c r="BC41" s="77"/>
      <c r="BG41" s="166"/>
      <c r="BH41" s="166"/>
      <c r="BK41" s="166"/>
      <c r="BL41" s="166"/>
      <c r="BN41" s="166"/>
      <c r="BR41" s="137" t="str">
        <f t="shared" ref="BR41:BR100" si="14">IF(S41="","--",$CC$1-S41)</f>
        <v>--</v>
      </c>
      <c r="BS41" s="133" t="str">
        <f t="shared" ref="BS41:BS100" si="15">IF($BS$2 = TRUE, IF(BR41&lt;&gt;"--",IF(BR41&gt;0,IF(AA41="","Yes","Done"),"Queue"),"--"), "--")</f>
        <v>--</v>
      </c>
      <c r="BT41" s="132" t="str">
        <f t="shared" ref="BT41:BT100" si="16">IF($BT$2=TRUE,IF(BR41&lt;&gt;"--",IF(BR41&gt;0,IF(AB41="","Yes","Done"),"Queue"),"--"),"--")</f>
        <v>--</v>
      </c>
      <c r="BU41" s="132" t="str">
        <f t="shared" ref="BU41:BU100" si="17">IF($BU$2 = TRUE,IF(BR41&lt;&gt;"--",IF(BR41&gt;0,IF(AC41="","Yes","Done"),"Queue"),"--"),"--")</f>
        <v>--</v>
      </c>
      <c r="BV41" s="132" t="str">
        <f t="shared" ref="BV41:BV100" si="18">IF($BV$2 = TRUE,IF(BR41&lt;&gt;"--",IF(BR41&gt;0,IF(AD41="","Yes","Done"),"Queue"),"--"),"--")</f>
        <v>--</v>
      </c>
      <c r="BW41" s="132" t="str">
        <f t="shared" ref="BW41:BW100" si="19">IF(BR41&lt;&gt;"--",IF(BR41&gt;0,IF(AE41="","Yes","Done"),"Queue"),"--")</f>
        <v>--</v>
      </c>
      <c r="BX41" s="132" t="str">
        <f t="shared" ref="BX41:BX100" si="20">IF($BX$2 = TRUE,IF(BR41&lt;&gt;"--",IF(BR41&gt;0,IF(OR(Q41="",W41=""),"Yes","Done"),"Queue"),"--"),IF(BR41&lt;&gt;"--",IF(BR41&gt;0,IF(W41="","Yes","Done"),"Queue"),"--"))</f>
        <v>--</v>
      </c>
      <c r="BY41" s="132" t="str">
        <f t="shared" ref="BY41:BY100" si="21">IF($BX$2 = TRUE,IF(BX41="Done",IF(BR41&gt;0,IF(OR(R41="",X41=""),"Yes","Done"),"Queue"),"--"),IF(BX41="Done",IF(BR41&gt;0,IF(X41="","Yes","Done"),"Queue"),"--"))</f>
        <v>--</v>
      </c>
      <c r="BZ41" s="132" t="str">
        <f t="shared" ref="BZ41:BZ100" si="22">IF(OR(BK41&lt;&gt;"",BL41&lt;&gt;"",BM41&lt;&gt;"",$BZ$2 = TRUE),IF(BR41&lt;&gt;"--",IF(BR41&gt;0,IF(BO41="","Yes","Done"),"Queue"),"--"),"--")</f>
        <v>--</v>
      </c>
      <c r="CA41" s="132" t="str">
        <f t="shared" ref="CA41:CA100" si="23">IF($CA$2 = TRUE,IF(BR41&lt;&gt;"--",IF(BR41&gt;0,IF(AO41="","Yes","Done"),"Queue"),"--"),"--")</f>
        <v>--</v>
      </c>
      <c r="CB41" s="132" t="str">
        <f t="shared" ref="CB41:CB100" si="24">IF(BR41&lt;&gt;"--",IF(AE41="",Y41&amp; " - "&amp; Z41,"Done"),"--")</f>
        <v>--</v>
      </c>
    </row>
    <row r="42" spans="1:80" x14ac:dyDescent="0.25">
      <c r="B42" s="77"/>
      <c r="C42" s="77"/>
      <c r="N42" s="141"/>
      <c r="O42" s="77"/>
      <c r="P42" s="144"/>
      <c r="Q42" s="141"/>
      <c r="S42" s="141"/>
      <c r="T42" s="77"/>
      <c r="V42" s="77"/>
      <c r="W42" s="141"/>
      <c r="AI42" s="77"/>
      <c r="AL42" s="77"/>
      <c r="AP42" s="77"/>
      <c r="AT42" s="77"/>
      <c r="AU42" s="77"/>
      <c r="AV42" s="77"/>
      <c r="AW42" s="77"/>
      <c r="AX42" s="77"/>
      <c r="AY42" s="77"/>
      <c r="BB42" s="77"/>
      <c r="BC42" s="77"/>
      <c r="BG42" s="166"/>
      <c r="BH42" s="166"/>
      <c r="BK42" s="166"/>
      <c r="BL42" s="166"/>
      <c r="BN42" s="166"/>
      <c r="BR42" s="137" t="str">
        <f t="shared" si="14"/>
        <v>--</v>
      </c>
      <c r="BS42" s="133" t="str">
        <f t="shared" si="15"/>
        <v>--</v>
      </c>
      <c r="BT42" s="132" t="str">
        <f t="shared" si="16"/>
        <v>--</v>
      </c>
      <c r="BU42" s="132" t="str">
        <f t="shared" si="17"/>
        <v>--</v>
      </c>
      <c r="BV42" s="132" t="str">
        <f t="shared" si="18"/>
        <v>--</v>
      </c>
      <c r="BW42" s="132" t="str">
        <f t="shared" si="19"/>
        <v>--</v>
      </c>
      <c r="BX42" s="132" t="str">
        <f t="shared" si="20"/>
        <v>--</v>
      </c>
      <c r="BY42" s="132" t="str">
        <f t="shared" si="21"/>
        <v>--</v>
      </c>
      <c r="BZ42" s="132" t="str">
        <f t="shared" si="22"/>
        <v>--</v>
      </c>
      <c r="CA42" s="132" t="str">
        <f t="shared" si="23"/>
        <v>--</v>
      </c>
      <c r="CB42" s="132" t="str">
        <f t="shared" si="24"/>
        <v>--</v>
      </c>
    </row>
    <row r="43" spans="1:80" x14ac:dyDescent="0.25">
      <c r="B43" s="77"/>
      <c r="C43" s="77"/>
      <c r="N43" s="141"/>
      <c r="O43" s="77"/>
      <c r="P43" s="144"/>
      <c r="Q43" s="141"/>
      <c r="S43" s="141"/>
      <c r="T43" s="77"/>
      <c r="V43" s="77"/>
      <c r="W43" s="141"/>
      <c r="AI43" s="77"/>
      <c r="AL43" s="77"/>
      <c r="AP43" s="77"/>
      <c r="AT43" s="77"/>
      <c r="AU43" s="77"/>
      <c r="AV43" s="77"/>
      <c r="AW43" s="77"/>
      <c r="AX43" s="77"/>
      <c r="AY43" s="77"/>
      <c r="BB43" s="77"/>
      <c r="BC43" s="77"/>
      <c r="BG43" s="166"/>
      <c r="BH43" s="166"/>
      <c r="BK43" s="166"/>
      <c r="BL43" s="166"/>
      <c r="BN43" s="166"/>
      <c r="BR43" s="137" t="str">
        <f t="shared" si="14"/>
        <v>--</v>
      </c>
      <c r="BS43" s="133" t="str">
        <f t="shared" si="15"/>
        <v>--</v>
      </c>
      <c r="BT43" s="132" t="str">
        <f t="shared" si="16"/>
        <v>--</v>
      </c>
      <c r="BU43" s="132" t="str">
        <f t="shared" si="17"/>
        <v>--</v>
      </c>
      <c r="BV43" s="132" t="str">
        <f t="shared" si="18"/>
        <v>--</v>
      </c>
      <c r="BW43" s="132" t="str">
        <f t="shared" si="19"/>
        <v>--</v>
      </c>
      <c r="BX43" s="132" t="str">
        <f t="shared" si="20"/>
        <v>--</v>
      </c>
      <c r="BY43" s="132" t="str">
        <f t="shared" si="21"/>
        <v>--</v>
      </c>
      <c r="BZ43" s="132" t="str">
        <f t="shared" si="22"/>
        <v>--</v>
      </c>
      <c r="CA43" s="132" t="str">
        <f t="shared" si="23"/>
        <v>--</v>
      </c>
      <c r="CB43" s="132" t="str">
        <f t="shared" si="24"/>
        <v>--</v>
      </c>
    </row>
    <row r="44" spans="1:80" x14ac:dyDescent="0.25">
      <c r="B44" s="77"/>
      <c r="C44" s="77"/>
      <c r="N44" s="141"/>
      <c r="O44" s="77"/>
      <c r="P44" s="144"/>
      <c r="Q44" s="141"/>
      <c r="S44" s="141"/>
      <c r="T44" s="77"/>
      <c r="V44" s="77"/>
      <c r="W44" s="141"/>
      <c r="AI44" s="77"/>
      <c r="AL44" s="77"/>
      <c r="AP44" s="77"/>
      <c r="AT44" s="77"/>
      <c r="AU44" s="77"/>
      <c r="AV44" s="77"/>
      <c r="AW44" s="77"/>
      <c r="AX44" s="77"/>
      <c r="AY44" s="77"/>
      <c r="BB44" s="77"/>
      <c r="BC44" s="77"/>
      <c r="BG44" s="166"/>
      <c r="BH44" s="166"/>
      <c r="BK44" s="166"/>
      <c r="BL44" s="166"/>
      <c r="BN44" s="166"/>
      <c r="BR44" s="137" t="str">
        <f t="shared" si="14"/>
        <v>--</v>
      </c>
      <c r="BS44" s="133" t="str">
        <f t="shared" si="15"/>
        <v>--</v>
      </c>
      <c r="BT44" s="132" t="str">
        <f t="shared" si="16"/>
        <v>--</v>
      </c>
      <c r="BU44" s="132" t="str">
        <f t="shared" si="17"/>
        <v>--</v>
      </c>
      <c r="BV44" s="132" t="str">
        <f t="shared" si="18"/>
        <v>--</v>
      </c>
      <c r="BW44" s="132" t="str">
        <f t="shared" si="19"/>
        <v>--</v>
      </c>
      <c r="BX44" s="132" t="str">
        <f t="shared" si="20"/>
        <v>--</v>
      </c>
      <c r="BY44" s="132" t="str">
        <f t="shared" si="21"/>
        <v>--</v>
      </c>
      <c r="BZ44" s="132" t="str">
        <f t="shared" si="22"/>
        <v>--</v>
      </c>
      <c r="CA44" s="132" t="str">
        <f t="shared" si="23"/>
        <v>--</v>
      </c>
      <c r="CB44" s="132" t="str">
        <f t="shared" si="24"/>
        <v>--</v>
      </c>
    </row>
    <row r="45" spans="1:80" x14ac:dyDescent="0.25">
      <c r="B45" s="77"/>
      <c r="C45" s="77"/>
      <c r="N45" s="141"/>
      <c r="O45" s="77"/>
      <c r="P45" s="144"/>
      <c r="Q45" s="141"/>
      <c r="S45" s="141"/>
      <c r="T45" s="77"/>
      <c r="V45" s="77"/>
      <c r="W45" s="141"/>
      <c r="AI45" s="77"/>
      <c r="AL45" s="77"/>
      <c r="AP45" s="77"/>
      <c r="AT45" s="77"/>
      <c r="AU45" s="77"/>
      <c r="AV45" s="77"/>
      <c r="AW45" s="77"/>
      <c r="AX45" s="77"/>
      <c r="AY45" s="77"/>
      <c r="BB45" s="77"/>
      <c r="BC45" s="77"/>
      <c r="BG45" s="166"/>
      <c r="BH45" s="166"/>
      <c r="BK45" s="166"/>
      <c r="BL45" s="166"/>
      <c r="BN45" s="166"/>
      <c r="BR45" s="137" t="str">
        <f t="shared" si="14"/>
        <v>--</v>
      </c>
      <c r="BS45" s="133" t="str">
        <f t="shared" si="15"/>
        <v>--</v>
      </c>
      <c r="BT45" s="132" t="str">
        <f t="shared" si="16"/>
        <v>--</v>
      </c>
      <c r="BU45" s="132" t="str">
        <f t="shared" si="17"/>
        <v>--</v>
      </c>
      <c r="BV45" s="132" t="str">
        <f t="shared" si="18"/>
        <v>--</v>
      </c>
      <c r="BW45" s="132" t="str">
        <f t="shared" si="19"/>
        <v>--</v>
      </c>
      <c r="BX45" s="132" t="str">
        <f t="shared" si="20"/>
        <v>--</v>
      </c>
      <c r="BY45" s="132" t="str">
        <f t="shared" si="21"/>
        <v>--</v>
      </c>
      <c r="BZ45" s="132" t="str">
        <f t="shared" si="22"/>
        <v>--</v>
      </c>
      <c r="CA45" s="132" t="str">
        <f t="shared" si="23"/>
        <v>--</v>
      </c>
      <c r="CB45" s="132" t="str">
        <f t="shared" si="24"/>
        <v>--</v>
      </c>
    </row>
    <row r="46" spans="1:80" x14ac:dyDescent="0.25">
      <c r="B46" s="77"/>
      <c r="C46" s="77"/>
      <c r="N46" s="141"/>
      <c r="O46" s="77"/>
      <c r="P46" s="144"/>
      <c r="Q46" s="141"/>
      <c r="S46" s="141"/>
      <c r="T46" s="77"/>
      <c r="V46" s="77"/>
      <c r="W46" s="141"/>
      <c r="AI46" s="77"/>
      <c r="AL46" s="77"/>
      <c r="AP46" s="77"/>
      <c r="AT46" s="77"/>
      <c r="AU46" s="77"/>
      <c r="AV46" s="77"/>
      <c r="AW46" s="77"/>
      <c r="AX46" s="77"/>
      <c r="AY46" s="77"/>
      <c r="BB46" s="77"/>
      <c r="BC46" s="77"/>
      <c r="BG46" s="166"/>
      <c r="BH46" s="166"/>
      <c r="BK46" s="166"/>
      <c r="BL46" s="166"/>
      <c r="BN46" s="166"/>
      <c r="BR46" s="137" t="str">
        <f t="shared" si="14"/>
        <v>--</v>
      </c>
      <c r="BS46" s="133" t="str">
        <f t="shared" si="15"/>
        <v>--</v>
      </c>
      <c r="BT46" s="132" t="str">
        <f t="shared" si="16"/>
        <v>--</v>
      </c>
      <c r="BU46" s="132" t="str">
        <f t="shared" si="17"/>
        <v>--</v>
      </c>
      <c r="BV46" s="132" t="str">
        <f t="shared" si="18"/>
        <v>--</v>
      </c>
      <c r="BW46" s="132" t="str">
        <f t="shared" si="19"/>
        <v>--</v>
      </c>
      <c r="BX46" s="132" t="str">
        <f t="shared" si="20"/>
        <v>--</v>
      </c>
      <c r="BY46" s="132" t="str">
        <f t="shared" si="21"/>
        <v>--</v>
      </c>
      <c r="BZ46" s="132" t="str">
        <f t="shared" si="22"/>
        <v>--</v>
      </c>
      <c r="CA46" s="132" t="str">
        <f t="shared" si="23"/>
        <v>--</v>
      </c>
      <c r="CB46" s="132" t="str">
        <f t="shared" si="24"/>
        <v>--</v>
      </c>
    </row>
    <row r="47" spans="1:80" x14ac:dyDescent="0.25">
      <c r="B47" s="77"/>
      <c r="C47" s="77"/>
      <c r="N47" s="141"/>
      <c r="O47" s="77"/>
      <c r="P47" s="144"/>
      <c r="Q47" s="141"/>
      <c r="S47" s="141"/>
      <c r="T47" s="77"/>
      <c r="V47" s="77"/>
      <c r="W47" s="141"/>
      <c r="AI47" s="77"/>
      <c r="AL47" s="77"/>
      <c r="AP47" s="77"/>
      <c r="AT47" s="77"/>
      <c r="AU47" s="77"/>
      <c r="AV47" s="77"/>
      <c r="AW47" s="77"/>
      <c r="AX47" s="77"/>
      <c r="AY47" s="77"/>
      <c r="BB47" s="77"/>
      <c r="BC47" s="77"/>
      <c r="BG47" s="166"/>
      <c r="BH47" s="166"/>
      <c r="BK47" s="166"/>
      <c r="BL47" s="166"/>
      <c r="BN47" s="166"/>
      <c r="BR47" s="137" t="str">
        <f t="shared" si="14"/>
        <v>--</v>
      </c>
      <c r="BS47" s="133" t="str">
        <f t="shared" si="15"/>
        <v>--</v>
      </c>
      <c r="BT47" s="132" t="str">
        <f t="shared" si="16"/>
        <v>--</v>
      </c>
      <c r="BU47" s="132" t="str">
        <f t="shared" si="17"/>
        <v>--</v>
      </c>
      <c r="BV47" s="132" t="str">
        <f t="shared" si="18"/>
        <v>--</v>
      </c>
      <c r="BW47" s="132" t="str">
        <f t="shared" si="19"/>
        <v>--</v>
      </c>
      <c r="BX47" s="132" t="str">
        <f t="shared" si="20"/>
        <v>--</v>
      </c>
      <c r="BY47" s="132" t="str">
        <f t="shared" si="21"/>
        <v>--</v>
      </c>
      <c r="BZ47" s="132" t="str">
        <f t="shared" si="22"/>
        <v>--</v>
      </c>
      <c r="CA47" s="132" t="str">
        <f t="shared" si="23"/>
        <v>--</v>
      </c>
      <c r="CB47" s="132" t="str">
        <f t="shared" si="24"/>
        <v>--</v>
      </c>
    </row>
    <row r="48" spans="1:80" x14ac:dyDescent="0.25">
      <c r="B48" s="77"/>
      <c r="C48" s="77"/>
      <c r="N48" s="141"/>
      <c r="O48" s="77"/>
      <c r="P48" s="144"/>
      <c r="Q48" s="141"/>
      <c r="S48" s="141"/>
      <c r="T48" s="77"/>
      <c r="V48" s="77"/>
      <c r="W48" s="141"/>
      <c r="AI48" s="77"/>
      <c r="AL48" s="77"/>
      <c r="AP48" s="77"/>
      <c r="AT48" s="77"/>
      <c r="AU48" s="77"/>
      <c r="AV48" s="77"/>
      <c r="AW48" s="77"/>
      <c r="AX48" s="77"/>
      <c r="AY48" s="77"/>
      <c r="BB48" s="77"/>
      <c r="BC48" s="77"/>
      <c r="BG48" s="166"/>
      <c r="BH48" s="166"/>
      <c r="BK48" s="166"/>
      <c r="BL48" s="166"/>
      <c r="BN48" s="166"/>
      <c r="BR48" s="137" t="str">
        <f t="shared" si="14"/>
        <v>--</v>
      </c>
      <c r="BS48" s="133" t="str">
        <f t="shared" si="15"/>
        <v>--</v>
      </c>
      <c r="BT48" s="132" t="str">
        <f t="shared" si="16"/>
        <v>--</v>
      </c>
      <c r="BU48" s="132" t="str">
        <f t="shared" si="17"/>
        <v>--</v>
      </c>
      <c r="BV48" s="132" t="str">
        <f t="shared" si="18"/>
        <v>--</v>
      </c>
      <c r="BW48" s="132" t="str">
        <f t="shared" si="19"/>
        <v>--</v>
      </c>
      <c r="BX48" s="132" t="str">
        <f t="shared" si="20"/>
        <v>--</v>
      </c>
      <c r="BY48" s="132" t="str">
        <f t="shared" si="21"/>
        <v>--</v>
      </c>
      <c r="BZ48" s="132" t="str">
        <f t="shared" si="22"/>
        <v>--</v>
      </c>
      <c r="CA48" s="132" t="str">
        <f t="shared" si="23"/>
        <v>--</v>
      </c>
      <c r="CB48" s="132" t="str">
        <f t="shared" si="24"/>
        <v>--</v>
      </c>
    </row>
    <row r="49" spans="2:80" x14ac:dyDescent="0.25">
      <c r="B49" s="77"/>
      <c r="C49" s="77"/>
      <c r="N49" s="141"/>
      <c r="O49" s="77"/>
      <c r="P49" s="144"/>
      <c r="Q49" s="141"/>
      <c r="S49" s="141"/>
      <c r="T49" s="77"/>
      <c r="V49" s="77"/>
      <c r="W49" s="141"/>
      <c r="AI49" s="77"/>
      <c r="AL49" s="77"/>
      <c r="AP49" s="77"/>
      <c r="AT49" s="77"/>
      <c r="AU49" s="77"/>
      <c r="AV49" s="77"/>
      <c r="AW49" s="77"/>
      <c r="AX49" s="77"/>
      <c r="AY49" s="77"/>
      <c r="BB49" s="77"/>
      <c r="BC49" s="77"/>
      <c r="BG49" s="166"/>
      <c r="BH49" s="166"/>
      <c r="BK49" s="166"/>
      <c r="BL49" s="166"/>
      <c r="BN49" s="166"/>
      <c r="BR49" s="137" t="str">
        <f t="shared" si="14"/>
        <v>--</v>
      </c>
      <c r="BS49" s="133" t="str">
        <f t="shared" si="15"/>
        <v>--</v>
      </c>
      <c r="BT49" s="132" t="str">
        <f t="shared" si="16"/>
        <v>--</v>
      </c>
      <c r="BU49" s="132" t="str">
        <f t="shared" si="17"/>
        <v>--</v>
      </c>
      <c r="BV49" s="132" t="str">
        <f t="shared" si="18"/>
        <v>--</v>
      </c>
      <c r="BW49" s="132" t="str">
        <f t="shared" si="19"/>
        <v>--</v>
      </c>
      <c r="BX49" s="132" t="str">
        <f t="shared" si="20"/>
        <v>--</v>
      </c>
      <c r="BY49" s="132" t="str">
        <f t="shared" si="21"/>
        <v>--</v>
      </c>
      <c r="BZ49" s="132" t="str">
        <f t="shared" si="22"/>
        <v>--</v>
      </c>
      <c r="CA49" s="132" t="str">
        <f t="shared" si="23"/>
        <v>--</v>
      </c>
      <c r="CB49" s="132" t="str">
        <f t="shared" si="24"/>
        <v>--</v>
      </c>
    </row>
    <row r="50" spans="2:80" x14ac:dyDescent="0.25">
      <c r="B50" s="77"/>
      <c r="C50" s="77"/>
      <c r="N50" s="141"/>
      <c r="O50" s="77"/>
      <c r="P50" s="144"/>
      <c r="Q50" s="141"/>
      <c r="S50" s="141"/>
      <c r="T50" s="77"/>
      <c r="V50" s="77"/>
      <c r="W50" s="141"/>
      <c r="AI50" s="77"/>
      <c r="AL50" s="77"/>
      <c r="AP50" s="77"/>
      <c r="AT50" s="77"/>
      <c r="AU50" s="77"/>
      <c r="AV50" s="77"/>
      <c r="AW50" s="77"/>
      <c r="AX50" s="77"/>
      <c r="AY50" s="77"/>
      <c r="BB50" s="77"/>
      <c r="BC50" s="77"/>
      <c r="BG50" s="166"/>
      <c r="BH50" s="166"/>
      <c r="BK50" s="166"/>
      <c r="BL50" s="166"/>
      <c r="BN50" s="166"/>
      <c r="BR50" s="137" t="str">
        <f t="shared" si="14"/>
        <v>--</v>
      </c>
      <c r="BS50" s="133" t="str">
        <f t="shared" si="15"/>
        <v>--</v>
      </c>
      <c r="BT50" s="132" t="str">
        <f t="shared" si="16"/>
        <v>--</v>
      </c>
      <c r="BU50" s="132" t="str">
        <f t="shared" si="17"/>
        <v>--</v>
      </c>
      <c r="BV50" s="132" t="str">
        <f t="shared" si="18"/>
        <v>--</v>
      </c>
      <c r="BW50" s="132" t="str">
        <f t="shared" si="19"/>
        <v>--</v>
      </c>
      <c r="BX50" s="132" t="str">
        <f t="shared" si="20"/>
        <v>--</v>
      </c>
      <c r="BY50" s="132" t="str">
        <f t="shared" si="21"/>
        <v>--</v>
      </c>
      <c r="BZ50" s="132" t="str">
        <f t="shared" si="22"/>
        <v>--</v>
      </c>
      <c r="CA50" s="132" t="str">
        <f t="shared" si="23"/>
        <v>--</v>
      </c>
      <c r="CB50" s="132" t="str">
        <f t="shared" si="24"/>
        <v>--</v>
      </c>
    </row>
    <row r="51" spans="2:80" x14ac:dyDescent="0.25">
      <c r="B51" s="77"/>
      <c r="C51" s="77"/>
      <c r="N51" s="141"/>
      <c r="O51" s="77"/>
      <c r="P51" s="144"/>
      <c r="Q51" s="141"/>
      <c r="S51" s="141"/>
      <c r="T51" s="77"/>
      <c r="V51" s="77"/>
      <c r="W51" s="141"/>
      <c r="AI51" s="77"/>
      <c r="AL51" s="77"/>
      <c r="AP51" s="77"/>
      <c r="AT51" s="77"/>
      <c r="AU51" s="77"/>
      <c r="AV51" s="77"/>
      <c r="AW51" s="77"/>
      <c r="AX51" s="77"/>
      <c r="AY51" s="77"/>
      <c r="BB51" s="77"/>
      <c r="BC51" s="77"/>
      <c r="BG51" s="166"/>
      <c r="BH51" s="166"/>
      <c r="BK51" s="166"/>
      <c r="BL51" s="166"/>
      <c r="BN51" s="166"/>
      <c r="BR51" s="137" t="str">
        <f t="shared" si="14"/>
        <v>--</v>
      </c>
      <c r="BS51" s="133" t="str">
        <f t="shared" si="15"/>
        <v>--</v>
      </c>
      <c r="BT51" s="132" t="str">
        <f t="shared" si="16"/>
        <v>--</v>
      </c>
      <c r="BU51" s="132" t="str">
        <f t="shared" si="17"/>
        <v>--</v>
      </c>
      <c r="BV51" s="132" t="str">
        <f t="shared" si="18"/>
        <v>--</v>
      </c>
      <c r="BW51" s="132" t="str">
        <f t="shared" si="19"/>
        <v>--</v>
      </c>
      <c r="BX51" s="132" t="str">
        <f t="shared" si="20"/>
        <v>--</v>
      </c>
      <c r="BY51" s="132" t="str">
        <f t="shared" si="21"/>
        <v>--</v>
      </c>
      <c r="BZ51" s="132" t="str">
        <f t="shared" si="22"/>
        <v>--</v>
      </c>
      <c r="CA51" s="132" t="str">
        <f t="shared" si="23"/>
        <v>--</v>
      </c>
      <c r="CB51" s="132" t="str">
        <f t="shared" si="24"/>
        <v>--</v>
      </c>
    </row>
    <row r="52" spans="2:80" x14ac:dyDescent="0.25">
      <c r="B52" s="77"/>
      <c r="C52" s="77"/>
      <c r="N52" s="141"/>
      <c r="O52" s="77"/>
      <c r="P52" s="144"/>
      <c r="Q52" s="141"/>
      <c r="S52" s="141"/>
      <c r="T52" s="77"/>
      <c r="V52" s="77"/>
      <c r="W52" s="141"/>
      <c r="AI52" s="77"/>
      <c r="AL52" s="77"/>
      <c r="AP52" s="77"/>
      <c r="AT52" s="77"/>
      <c r="AU52" s="77"/>
      <c r="AV52" s="77"/>
      <c r="AW52" s="77"/>
      <c r="AX52" s="77"/>
      <c r="AY52" s="77"/>
      <c r="BB52" s="77"/>
      <c r="BC52" s="77"/>
      <c r="BG52" s="166"/>
      <c r="BH52" s="166"/>
      <c r="BK52" s="166"/>
      <c r="BL52" s="166"/>
      <c r="BN52" s="166"/>
      <c r="BR52" s="137" t="str">
        <f t="shared" si="14"/>
        <v>--</v>
      </c>
      <c r="BS52" s="133" t="str">
        <f t="shared" si="15"/>
        <v>--</v>
      </c>
      <c r="BT52" s="132" t="str">
        <f t="shared" si="16"/>
        <v>--</v>
      </c>
      <c r="BU52" s="132" t="str">
        <f t="shared" si="17"/>
        <v>--</v>
      </c>
      <c r="BV52" s="132" t="str">
        <f t="shared" si="18"/>
        <v>--</v>
      </c>
      <c r="BW52" s="132" t="str">
        <f t="shared" si="19"/>
        <v>--</v>
      </c>
      <c r="BX52" s="132" t="str">
        <f t="shared" si="20"/>
        <v>--</v>
      </c>
      <c r="BY52" s="132" t="str">
        <f t="shared" si="21"/>
        <v>--</v>
      </c>
      <c r="BZ52" s="132" t="str">
        <f t="shared" si="22"/>
        <v>--</v>
      </c>
      <c r="CA52" s="132" t="str">
        <f t="shared" si="23"/>
        <v>--</v>
      </c>
      <c r="CB52" s="132" t="str">
        <f t="shared" si="24"/>
        <v>--</v>
      </c>
    </row>
    <row r="53" spans="2:80" x14ac:dyDescent="0.25">
      <c r="B53" s="77"/>
      <c r="C53" s="77"/>
      <c r="N53" s="141"/>
      <c r="O53" s="77"/>
      <c r="P53" s="144"/>
      <c r="Q53" s="141"/>
      <c r="S53" s="141"/>
      <c r="T53" s="77"/>
      <c r="V53" s="77"/>
      <c r="W53" s="141"/>
      <c r="AI53" s="77"/>
      <c r="AL53" s="77"/>
      <c r="AP53" s="77"/>
      <c r="AT53" s="77"/>
      <c r="AU53" s="77"/>
      <c r="AV53" s="77"/>
      <c r="AW53" s="77"/>
      <c r="AX53" s="77"/>
      <c r="AY53" s="77"/>
      <c r="BB53" s="77"/>
      <c r="BC53" s="77"/>
      <c r="BG53" s="166"/>
      <c r="BH53" s="166"/>
      <c r="BK53" s="166"/>
      <c r="BL53" s="166"/>
      <c r="BN53" s="166"/>
      <c r="BR53" s="137" t="str">
        <f t="shared" si="14"/>
        <v>--</v>
      </c>
      <c r="BS53" s="133" t="str">
        <f t="shared" si="15"/>
        <v>--</v>
      </c>
      <c r="BT53" s="132" t="str">
        <f t="shared" si="16"/>
        <v>--</v>
      </c>
      <c r="BU53" s="132" t="str">
        <f t="shared" si="17"/>
        <v>--</v>
      </c>
      <c r="BV53" s="132" t="str">
        <f t="shared" si="18"/>
        <v>--</v>
      </c>
      <c r="BW53" s="132" t="str">
        <f t="shared" si="19"/>
        <v>--</v>
      </c>
      <c r="BX53" s="132" t="str">
        <f t="shared" si="20"/>
        <v>--</v>
      </c>
      <c r="BY53" s="132" t="str">
        <f t="shared" si="21"/>
        <v>--</v>
      </c>
      <c r="BZ53" s="132" t="str">
        <f t="shared" si="22"/>
        <v>--</v>
      </c>
      <c r="CA53" s="132" t="str">
        <f t="shared" si="23"/>
        <v>--</v>
      </c>
      <c r="CB53" s="132" t="str">
        <f t="shared" si="24"/>
        <v>--</v>
      </c>
    </row>
    <row r="54" spans="2:80" x14ac:dyDescent="0.25">
      <c r="B54" s="77"/>
      <c r="C54" s="77"/>
      <c r="N54" s="141"/>
      <c r="O54" s="77"/>
      <c r="P54" s="144"/>
      <c r="Q54" s="141"/>
      <c r="S54" s="141"/>
      <c r="T54" s="77"/>
      <c r="V54" s="77"/>
      <c r="W54" s="141"/>
      <c r="AI54" s="77"/>
      <c r="AL54" s="77"/>
      <c r="AP54" s="77"/>
      <c r="AT54" s="77"/>
      <c r="AU54" s="77"/>
      <c r="AV54" s="77"/>
      <c r="AW54" s="77"/>
      <c r="AX54" s="77"/>
      <c r="AY54" s="77"/>
      <c r="BB54" s="77"/>
      <c r="BC54" s="77"/>
      <c r="BG54" s="166"/>
      <c r="BH54" s="166"/>
      <c r="BK54" s="166"/>
      <c r="BL54" s="166"/>
      <c r="BN54" s="166"/>
      <c r="BR54" s="137" t="str">
        <f t="shared" si="14"/>
        <v>--</v>
      </c>
      <c r="BS54" s="133" t="str">
        <f t="shared" si="15"/>
        <v>--</v>
      </c>
      <c r="BT54" s="132" t="str">
        <f t="shared" si="16"/>
        <v>--</v>
      </c>
      <c r="BU54" s="132" t="str">
        <f t="shared" si="17"/>
        <v>--</v>
      </c>
      <c r="BV54" s="132" t="str">
        <f t="shared" si="18"/>
        <v>--</v>
      </c>
      <c r="BW54" s="132" t="str">
        <f t="shared" si="19"/>
        <v>--</v>
      </c>
      <c r="BX54" s="132" t="str">
        <f t="shared" si="20"/>
        <v>--</v>
      </c>
      <c r="BY54" s="132" t="str">
        <f t="shared" si="21"/>
        <v>--</v>
      </c>
      <c r="BZ54" s="132" t="str">
        <f t="shared" si="22"/>
        <v>--</v>
      </c>
      <c r="CA54" s="132" t="str">
        <f t="shared" si="23"/>
        <v>--</v>
      </c>
      <c r="CB54" s="132" t="str">
        <f t="shared" si="24"/>
        <v>--</v>
      </c>
    </row>
    <row r="55" spans="2:80" x14ac:dyDescent="0.25">
      <c r="B55" s="77"/>
      <c r="C55" s="77"/>
      <c r="N55" s="141"/>
      <c r="O55" s="77"/>
      <c r="P55" s="144"/>
      <c r="Q55" s="141"/>
      <c r="S55" s="141"/>
      <c r="T55" s="77"/>
      <c r="V55" s="77"/>
      <c r="W55" s="141"/>
      <c r="AI55" s="77"/>
      <c r="AL55" s="77"/>
      <c r="AP55" s="77"/>
      <c r="AT55" s="77"/>
      <c r="AU55" s="77"/>
      <c r="AV55" s="77"/>
      <c r="AW55" s="77"/>
      <c r="AX55" s="77"/>
      <c r="AY55" s="77"/>
      <c r="BB55" s="77"/>
      <c r="BC55" s="77"/>
      <c r="BG55" s="166"/>
      <c r="BH55" s="166"/>
      <c r="BK55" s="166"/>
      <c r="BL55" s="166"/>
      <c r="BN55" s="166"/>
      <c r="BR55" s="137" t="str">
        <f t="shared" si="14"/>
        <v>--</v>
      </c>
      <c r="BS55" s="133" t="str">
        <f t="shared" si="15"/>
        <v>--</v>
      </c>
      <c r="BT55" s="132" t="str">
        <f t="shared" si="16"/>
        <v>--</v>
      </c>
      <c r="BU55" s="132" t="str">
        <f t="shared" si="17"/>
        <v>--</v>
      </c>
      <c r="BV55" s="132" t="str">
        <f t="shared" si="18"/>
        <v>--</v>
      </c>
      <c r="BW55" s="132" t="str">
        <f t="shared" si="19"/>
        <v>--</v>
      </c>
      <c r="BX55" s="132" t="str">
        <f t="shared" si="20"/>
        <v>--</v>
      </c>
      <c r="BY55" s="132" t="str">
        <f t="shared" si="21"/>
        <v>--</v>
      </c>
      <c r="BZ55" s="132" t="str">
        <f t="shared" si="22"/>
        <v>--</v>
      </c>
      <c r="CA55" s="132" t="str">
        <f t="shared" si="23"/>
        <v>--</v>
      </c>
      <c r="CB55" s="132" t="str">
        <f t="shared" si="24"/>
        <v>--</v>
      </c>
    </row>
    <row r="56" spans="2:80" x14ac:dyDescent="0.25">
      <c r="B56" s="77"/>
      <c r="C56" s="77"/>
      <c r="N56" s="141"/>
      <c r="O56" s="77"/>
      <c r="P56" s="144"/>
      <c r="Q56" s="141"/>
      <c r="S56" s="141"/>
      <c r="T56" s="77"/>
      <c r="V56" s="77"/>
      <c r="W56" s="141"/>
      <c r="AI56" s="77"/>
      <c r="AL56" s="77"/>
      <c r="AP56" s="77"/>
      <c r="AT56" s="77"/>
      <c r="AU56" s="77"/>
      <c r="AV56" s="77"/>
      <c r="AW56" s="77"/>
      <c r="AX56" s="77"/>
      <c r="AY56" s="77"/>
      <c r="BB56" s="77"/>
      <c r="BC56" s="77"/>
      <c r="BG56" s="166"/>
      <c r="BH56" s="166"/>
      <c r="BK56" s="166"/>
      <c r="BL56" s="166"/>
      <c r="BN56" s="166"/>
      <c r="BR56" s="137" t="str">
        <f t="shared" si="14"/>
        <v>--</v>
      </c>
      <c r="BS56" s="133" t="str">
        <f t="shared" si="15"/>
        <v>--</v>
      </c>
      <c r="BT56" s="132" t="str">
        <f t="shared" si="16"/>
        <v>--</v>
      </c>
      <c r="BU56" s="132" t="str">
        <f t="shared" si="17"/>
        <v>--</v>
      </c>
      <c r="BV56" s="132" t="str">
        <f t="shared" si="18"/>
        <v>--</v>
      </c>
      <c r="BW56" s="132" t="str">
        <f t="shared" si="19"/>
        <v>--</v>
      </c>
      <c r="BX56" s="132" t="str">
        <f t="shared" si="20"/>
        <v>--</v>
      </c>
      <c r="BY56" s="132" t="str">
        <f t="shared" si="21"/>
        <v>--</v>
      </c>
      <c r="BZ56" s="132" t="str">
        <f t="shared" si="22"/>
        <v>--</v>
      </c>
      <c r="CA56" s="132" t="str">
        <f t="shared" si="23"/>
        <v>--</v>
      </c>
      <c r="CB56" s="132" t="str">
        <f t="shared" si="24"/>
        <v>--</v>
      </c>
    </row>
    <row r="57" spans="2:80" x14ac:dyDescent="0.25">
      <c r="B57" s="77"/>
      <c r="C57" s="77"/>
      <c r="N57" s="141"/>
      <c r="O57" s="77"/>
      <c r="P57" s="144"/>
      <c r="Q57" s="141"/>
      <c r="S57" s="141"/>
      <c r="T57" s="77"/>
      <c r="V57" s="77"/>
      <c r="W57" s="141"/>
      <c r="AI57" s="77"/>
      <c r="AL57" s="77"/>
      <c r="AP57" s="77"/>
      <c r="AT57" s="77"/>
      <c r="AU57" s="77"/>
      <c r="AV57" s="77"/>
      <c r="AW57" s="77"/>
      <c r="AX57" s="77"/>
      <c r="AY57" s="77"/>
      <c r="BB57" s="77"/>
      <c r="BC57" s="77"/>
      <c r="BG57" s="166"/>
      <c r="BH57" s="166"/>
      <c r="BK57" s="166"/>
      <c r="BL57" s="166"/>
      <c r="BN57" s="166"/>
      <c r="BR57" s="137" t="str">
        <f t="shared" si="14"/>
        <v>--</v>
      </c>
      <c r="BS57" s="133" t="str">
        <f t="shared" si="15"/>
        <v>--</v>
      </c>
      <c r="BT57" s="132" t="str">
        <f t="shared" si="16"/>
        <v>--</v>
      </c>
      <c r="BU57" s="132" t="str">
        <f t="shared" si="17"/>
        <v>--</v>
      </c>
      <c r="BV57" s="132" t="str">
        <f t="shared" si="18"/>
        <v>--</v>
      </c>
      <c r="BW57" s="132" t="str">
        <f t="shared" si="19"/>
        <v>--</v>
      </c>
      <c r="BX57" s="132" t="str">
        <f t="shared" si="20"/>
        <v>--</v>
      </c>
      <c r="BY57" s="132" t="str">
        <f t="shared" si="21"/>
        <v>--</v>
      </c>
      <c r="BZ57" s="132" t="str">
        <f t="shared" si="22"/>
        <v>--</v>
      </c>
      <c r="CA57" s="132" t="str">
        <f t="shared" si="23"/>
        <v>--</v>
      </c>
      <c r="CB57" s="132" t="str">
        <f t="shared" si="24"/>
        <v>--</v>
      </c>
    </row>
    <row r="58" spans="2:80" x14ac:dyDescent="0.25">
      <c r="B58" s="77"/>
      <c r="C58" s="77"/>
      <c r="N58" s="141"/>
      <c r="O58" s="77"/>
      <c r="P58" s="144"/>
      <c r="Q58" s="141"/>
      <c r="S58" s="141"/>
      <c r="T58" s="77"/>
      <c r="V58" s="77"/>
      <c r="W58" s="141"/>
      <c r="AI58" s="77"/>
      <c r="AL58" s="77"/>
      <c r="AP58" s="77"/>
      <c r="AT58" s="77"/>
      <c r="AU58" s="77"/>
      <c r="AV58" s="77"/>
      <c r="AW58" s="77"/>
      <c r="AX58" s="77"/>
      <c r="AY58" s="77"/>
      <c r="BB58" s="77"/>
      <c r="BC58" s="77"/>
      <c r="BG58" s="166"/>
      <c r="BH58" s="166"/>
      <c r="BK58" s="166"/>
      <c r="BL58" s="166"/>
      <c r="BN58" s="166"/>
      <c r="BR58" s="137" t="str">
        <f t="shared" si="14"/>
        <v>--</v>
      </c>
      <c r="BS58" s="133" t="str">
        <f t="shared" si="15"/>
        <v>--</v>
      </c>
      <c r="BT58" s="132" t="str">
        <f t="shared" si="16"/>
        <v>--</v>
      </c>
      <c r="BU58" s="132" t="str">
        <f t="shared" si="17"/>
        <v>--</v>
      </c>
      <c r="BV58" s="132" t="str">
        <f t="shared" si="18"/>
        <v>--</v>
      </c>
      <c r="BW58" s="132" t="str">
        <f t="shared" si="19"/>
        <v>--</v>
      </c>
      <c r="BX58" s="132" t="str">
        <f t="shared" si="20"/>
        <v>--</v>
      </c>
      <c r="BY58" s="132" t="str">
        <f t="shared" si="21"/>
        <v>--</v>
      </c>
      <c r="BZ58" s="132" t="str">
        <f t="shared" si="22"/>
        <v>--</v>
      </c>
      <c r="CA58" s="132" t="str">
        <f t="shared" si="23"/>
        <v>--</v>
      </c>
      <c r="CB58" s="132" t="str">
        <f t="shared" si="24"/>
        <v>--</v>
      </c>
    </row>
    <row r="59" spans="2:80" x14ac:dyDescent="0.25">
      <c r="B59" s="77"/>
      <c r="C59" s="77"/>
      <c r="N59" s="141"/>
      <c r="O59" s="77"/>
      <c r="P59" s="144"/>
      <c r="Q59" s="141"/>
      <c r="S59" s="141"/>
      <c r="T59" s="77"/>
      <c r="V59" s="77"/>
      <c r="W59" s="141"/>
      <c r="AI59" s="77"/>
      <c r="AL59" s="77"/>
      <c r="AP59" s="77"/>
      <c r="AT59" s="77"/>
      <c r="AU59" s="77"/>
      <c r="AV59" s="77"/>
      <c r="AW59" s="77"/>
      <c r="AX59" s="77"/>
      <c r="AY59" s="77"/>
      <c r="BB59" s="77"/>
      <c r="BC59" s="77"/>
      <c r="BG59" s="166"/>
      <c r="BH59" s="166"/>
      <c r="BK59" s="166"/>
      <c r="BL59" s="166"/>
      <c r="BN59" s="166"/>
      <c r="BR59" s="137" t="str">
        <f t="shared" si="14"/>
        <v>--</v>
      </c>
      <c r="BS59" s="133" t="str">
        <f t="shared" si="15"/>
        <v>--</v>
      </c>
      <c r="BT59" s="132" t="str">
        <f t="shared" si="16"/>
        <v>--</v>
      </c>
      <c r="BU59" s="132" t="str">
        <f t="shared" si="17"/>
        <v>--</v>
      </c>
      <c r="BV59" s="132" t="str">
        <f t="shared" si="18"/>
        <v>--</v>
      </c>
      <c r="BW59" s="132" t="str">
        <f t="shared" si="19"/>
        <v>--</v>
      </c>
      <c r="BX59" s="132" t="str">
        <f t="shared" si="20"/>
        <v>--</v>
      </c>
      <c r="BY59" s="132" t="str">
        <f t="shared" si="21"/>
        <v>--</v>
      </c>
      <c r="BZ59" s="132" t="str">
        <f t="shared" si="22"/>
        <v>--</v>
      </c>
      <c r="CA59" s="132" t="str">
        <f t="shared" si="23"/>
        <v>--</v>
      </c>
      <c r="CB59" s="132" t="str">
        <f t="shared" si="24"/>
        <v>--</v>
      </c>
    </row>
    <row r="60" spans="2:80" x14ac:dyDescent="0.25">
      <c r="B60" s="77"/>
      <c r="C60" s="77"/>
      <c r="N60" s="141"/>
      <c r="O60" s="77"/>
      <c r="P60" s="144"/>
      <c r="Q60" s="141"/>
      <c r="S60" s="141"/>
      <c r="T60" s="77"/>
      <c r="V60" s="77"/>
      <c r="W60" s="141"/>
      <c r="AI60" s="77"/>
      <c r="AL60" s="77"/>
      <c r="AP60" s="77"/>
      <c r="AT60" s="77"/>
      <c r="AU60" s="77"/>
      <c r="AV60" s="77"/>
      <c r="AW60" s="77"/>
      <c r="AX60" s="77"/>
      <c r="AY60" s="77"/>
      <c r="BB60" s="77"/>
      <c r="BC60" s="77"/>
      <c r="BG60" s="166"/>
      <c r="BH60" s="166"/>
      <c r="BK60" s="166"/>
      <c r="BL60" s="166"/>
      <c r="BN60" s="166"/>
      <c r="BR60" s="137" t="str">
        <f t="shared" si="14"/>
        <v>--</v>
      </c>
      <c r="BS60" s="133" t="str">
        <f t="shared" si="15"/>
        <v>--</v>
      </c>
      <c r="BT60" s="132" t="str">
        <f t="shared" si="16"/>
        <v>--</v>
      </c>
      <c r="BU60" s="132" t="str">
        <f t="shared" si="17"/>
        <v>--</v>
      </c>
      <c r="BV60" s="132" t="str">
        <f t="shared" si="18"/>
        <v>--</v>
      </c>
      <c r="BW60" s="132" t="str">
        <f t="shared" si="19"/>
        <v>--</v>
      </c>
      <c r="BX60" s="132" t="str">
        <f t="shared" si="20"/>
        <v>--</v>
      </c>
      <c r="BY60" s="132" t="str">
        <f t="shared" si="21"/>
        <v>--</v>
      </c>
      <c r="BZ60" s="132" t="str">
        <f t="shared" si="22"/>
        <v>--</v>
      </c>
      <c r="CA60" s="132" t="str">
        <f t="shared" si="23"/>
        <v>--</v>
      </c>
      <c r="CB60" s="132" t="str">
        <f t="shared" si="24"/>
        <v>--</v>
      </c>
    </row>
    <row r="61" spans="2:80" x14ac:dyDescent="0.25">
      <c r="B61" s="77"/>
      <c r="C61" s="77"/>
      <c r="N61" s="141"/>
      <c r="O61" s="77"/>
      <c r="P61" s="144"/>
      <c r="Q61" s="141"/>
      <c r="S61" s="141"/>
      <c r="T61" s="77"/>
      <c r="V61" s="77"/>
      <c r="W61" s="141"/>
      <c r="AI61" s="77"/>
      <c r="AL61" s="77"/>
      <c r="AP61" s="77"/>
      <c r="AT61" s="77"/>
      <c r="AU61" s="77"/>
      <c r="AV61" s="77"/>
      <c r="AW61" s="77"/>
      <c r="AX61" s="77"/>
      <c r="AY61" s="77"/>
      <c r="BB61" s="77"/>
      <c r="BC61" s="77"/>
      <c r="BG61" s="166"/>
      <c r="BH61" s="166"/>
      <c r="BK61" s="166"/>
      <c r="BL61" s="166"/>
      <c r="BN61" s="166"/>
      <c r="BR61" s="137" t="str">
        <f t="shared" si="14"/>
        <v>--</v>
      </c>
      <c r="BS61" s="133" t="str">
        <f t="shared" si="15"/>
        <v>--</v>
      </c>
      <c r="BT61" s="132" t="str">
        <f t="shared" si="16"/>
        <v>--</v>
      </c>
      <c r="BU61" s="132" t="str">
        <f t="shared" si="17"/>
        <v>--</v>
      </c>
      <c r="BV61" s="132" t="str">
        <f t="shared" si="18"/>
        <v>--</v>
      </c>
      <c r="BW61" s="132" t="str">
        <f t="shared" si="19"/>
        <v>--</v>
      </c>
      <c r="BX61" s="132" t="str">
        <f t="shared" si="20"/>
        <v>--</v>
      </c>
      <c r="BY61" s="132" t="str">
        <f t="shared" si="21"/>
        <v>--</v>
      </c>
      <c r="BZ61" s="132" t="str">
        <f t="shared" si="22"/>
        <v>--</v>
      </c>
      <c r="CA61" s="132" t="str">
        <f t="shared" si="23"/>
        <v>--</v>
      </c>
      <c r="CB61" s="132" t="str">
        <f t="shared" si="24"/>
        <v>--</v>
      </c>
    </row>
    <row r="62" spans="2:80" x14ac:dyDescent="0.25">
      <c r="B62" s="77"/>
      <c r="C62" s="77"/>
      <c r="N62" s="141"/>
      <c r="O62" s="77"/>
      <c r="P62" s="144"/>
      <c r="Q62" s="141"/>
      <c r="S62" s="141"/>
      <c r="T62" s="77"/>
      <c r="V62" s="77"/>
      <c r="W62" s="141"/>
      <c r="AI62" s="77"/>
      <c r="AL62" s="77"/>
      <c r="AP62" s="77"/>
      <c r="AT62" s="77"/>
      <c r="AU62" s="77"/>
      <c r="AV62" s="77"/>
      <c r="AW62" s="77"/>
      <c r="AX62" s="77"/>
      <c r="AY62" s="77"/>
      <c r="BB62" s="77"/>
      <c r="BC62" s="77"/>
      <c r="BG62" s="166"/>
      <c r="BH62" s="166"/>
      <c r="BK62" s="166"/>
      <c r="BL62" s="166"/>
      <c r="BN62" s="166"/>
      <c r="BR62" s="137" t="str">
        <f t="shared" si="14"/>
        <v>--</v>
      </c>
      <c r="BS62" s="133" t="str">
        <f t="shared" si="15"/>
        <v>--</v>
      </c>
      <c r="BT62" s="132" t="str">
        <f t="shared" si="16"/>
        <v>--</v>
      </c>
      <c r="BU62" s="132" t="str">
        <f t="shared" si="17"/>
        <v>--</v>
      </c>
      <c r="BV62" s="132" t="str">
        <f t="shared" si="18"/>
        <v>--</v>
      </c>
      <c r="BW62" s="132" t="str">
        <f t="shared" si="19"/>
        <v>--</v>
      </c>
      <c r="BX62" s="132" t="str">
        <f t="shared" si="20"/>
        <v>--</v>
      </c>
      <c r="BY62" s="132" t="str">
        <f t="shared" si="21"/>
        <v>--</v>
      </c>
      <c r="BZ62" s="132" t="str">
        <f t="shared" si="22"/>
        <v>--</v>
      </c>
      <c r="CA62" s="132" t="str">
        <f t="shared" si="23"/>
        <v>--</v>
      </c>
      <c r="CB62" s="132" t="str">
        <f t="shared" si="24"/>
        <v>--</v>
      </c>
    </row>
    <row r="63" spans="2:80" x14ac:dyDescent="0.25">
      <c r="B63" s="77"/>
      <c r="C63" s="77"/>
      <c r="N63" s="141"/>
      <c r="O63" s="77"/>
      <c r="P63" s="144"/>
      <c r="Q63" s="141"/>
      <c r="S63" s="141"/>
      <c r="T63" s="77"/>
      <c r="V63" s="77"/>
      <c r="W63" s="141"/>
      <c r="AI63" s="77"/>
      <c r="AL63" s="77"/>
      <c r="AP63" s="77"/>
      <c r="AT63" s="77"/>
      <c r="AU63" s="77"/>
      <c r="AV63" s="77"/>
      <c r="AW63" s="77"/>
      <c r="AX63" s="77"/>
      <c r="AY63" s="77"/>
      <c r="BB63" s="77"/>
      <c r="BC63" s="77"/>
      <c r="BG63" s="166"/>
      <c r="BH63" s="166"/>
      <c r="BK63" s="166"/>
      <c r="BL63" s="166"/>
      <c r="BN63" s="166"/>
      <c r="BR63" s="137" t="str">
        <f t="shared" si="14"/>
        <v>--</v>
      </c>
      <c r="BS63" s="133" t="str">
        <f t="shared" si="15"/>
        <v>--</v>
      </c>
      <c r="BT63" s="132" t="str">
        <f t="shared" si="16"/>
        <v>--</v>
      </c>
      <c r="BU63" s="132" t="str">
        <f t="shared" si="17"/>
        <v>--</v>
      </c>
      <c r="BV63" s="132" t="str">
        <f t="shared" si="18"/>
        <v>--</v>
      </c>
      <c r="BW63" s="132" t="str">
        <f t="shared" si="19"/>
        <v>--</v>
      </c>
      <c r="BX63" s="132" t="str">
        <f t="shared" si="20"/>
        <v>--</v>
      </c>
      <c r="BY63" s="132" t="str">
        <f t="shared" si="21"/>
        <v>--</v>
      </c>
      <c r="BZ63" s="132" t="str">
        <f t="shared" si="22"/>
        <v>--</v>
      </c>
      <c r="CA63" s="132" t="str">
        <f t="shared" si="23"/>
        <v>--</v>
      </c>
      <c r="CB63" s="132" t="str">
        <f t="shared" si="24"/>
        <v>--</v>
      </c>
    </row>
    <row r="64" spans="2:80" x14ac:dyDescent="0.25">
      <c r="B64" s="77"/>
      <c r="C64" s="77"/>
      <c r="N64" s="141"/>
      <c r="O64" s="77"/>
      <c r="P64" s="144"/>
      <c r="Q64" s="141"/>
      <c r="S64" s="141"/>
      <c r="T64" s="77"/>
      <c r="V64" s="77"/>
      <c r="W64" s="141"/>
      <c r="AI64" s="77"/>
      <c r="AL64" s="77"/>
      <c r="AP64" s="77"/>
      <c r="AT64" s="77"/>
      <c r="AU64" s="77"/>
      <c r="AV64" s="77"/>
      <c r="AW64" s="77"/>
      <c r="AX64" s="77"/>
      <c r="AY64" s="77"/>
      <c r="BB64" s="77"/>
      <c r="BC64" s="77"/>
      <c r="BG64" s="166"/>
      <c r="BH64" s="166"/>
      <c r="BK64" s="166"/>
      <c r="BL64" s="166"/>
      <c r="BN64" s="166"/>
      <c r="BR64" s="137" t="str">
        <f t="shared" si="14"/>
        <v>--</v>
      </c>
      <c r="BS64" s="133" t="str">
        <f t="shared" si="15"/>
        <v>--</v>
      </c>
      <c r="BT64" s="132" t="str">
        <f t="shared" si="16"/>
        <v>--</v>
      </c>
      <c r="BU64" s="132" t="str">
        <f t="shared" si="17"/>
        <v>--</v>
      </c>
      <c r="BV64" s="132" t="str">
        <f t="shared" si="18"/>
        <v>--</v>
      </c>
      <c r="BW64" s="132" t="str">
        <f t="shared" si="19"/>
        <v>--</v>
      </c>
      <c r="BX64" s="132" t="str">
        <f t="shared" si="20"/>
        <v>--</v>
      </c>
      <c r="BY64" s="132" t="str">
        <f t="shared" si="21"/>
        <v>--</v>
      </c>
      <c r="BZ64" s="132" t="str">
        <f t="shared" si="22"/>
        <v>--</v>
      </c>
      <c r="CA64" s="132" t="str">
        <f t="shared" si="23"/>
        <v>--</v>
      </c>
      <c r="CB64" s="132" t="str">
        <f t="shared" si="24"/>
        <v>--</v>
      </c>
    </row>
    <row r="65" spans="2:80" x14ac:dyDescent="0.25">
      <c r="B65" s="77"/>
      <c r="C65" s="77"/>
      <c r="N65" s="141"/>
      <c r="O65" s="77"/>
      <c r="P65" s="144"/>
      <c r="Q65" s="141"/>
      <c r="S65" s="141"/>
      <c r="T65" s="77"/>
      <c r="V65" s="77"/>
      <c r="W65" s="141"/>
      <c r="AI65" s="77"/>
      <c r="AL65" s="77"/>
      <c r="AP65" s="77"/>
      <c r="AT65" s="77"/>
      <c r="AU65" s="77"/>
      <c r="AV65" s="77"/>
      <c r="AW65" s="77"/>
      <c r="AX65" s="77"/>
      <c r="AY65" s="77"/>
      <c r="BB65" s="77"/>
      <c r="BC65" s="77"/>
      <c r="BG65" s="166"/>
      <c r="BH65" s="166"/>
      <c r="BK65" s="166"/>
      <c r="BL65" s="166"/>
      <c r="BN65" s="166"/>
      <c r="BR65" s="137" t="str">
        <f t="shared" si="14"/>
        <v>--</v>
      </c>
      <c r="BS65" s="133" t="str">
        <f t="shared" si="15"/>
        <v>--</v>
      </c>
      <c r="BT65" s="132" t="str">
        <f t="shared" si="16"/>
        <v>--</v>
      </c>
      <c r="BU65" s="132" t="str">
        <f t="shared" si="17"/>
        <v>--</v>
      </c>
      <c r="BV65" s="132" t="str">
        <f t="shared" si="18"/>
        <v>--</v>
      </c>
      <c r="BW65" s="132" t="str">
        <f t="shared" si="19"/>
        <v>--</v>
      </c>
      <c r="BX65" s="132" t="str">
        <f t="shared" si="20"/>
        <v>--</v>
      </c>
      <c r="BY65" s="132" t="str">
        <f t="shared" si="21"/>
        <v>--</v>
      </c>
      <c r="BZ65" s="132" t="str">
        <f t="shared" si="22"/>
        <v>--</v>
      </c>
      <c r="CA65" s="132" t="str">
        <f t="shared" si="23"/>
        <v>--</v>
      </c>
      <c r="CB65" s="132" t="str">
        <f t="shared" si="24"/>
        <v>--</v>
      </c>
    </row>
    <row r="66" spans="2:80" x14ac:dyDescent="0.25">
      <c r="B66" s="77"/>
      <c r="C66" s="77"/>
      <c r="N66" s="141"/>
      <c r="O66" s="77"/>
      <c r="P66" s="144"/>
      <c r="Q66" s="141"/>
      <c r="S66" s="141"/>
      <c r="T66" s="77"/>
      <c r="V66" s="77"/>
      <c r="W66" s="141"/>
      <c r="AI66" s="77"/>
      <c r="AL66" s="77"/>
      <c r="AP66" s="77"/>
      <c r="AT66" s="77"/>
      <c r="AU66" s="77"/>
      <c r="AV66" s="77"/>
      <c r="AW66" s="77"/>
      <c r="AX66" s="77"/>
      <c r="AY66" s="77"/>
      <c r="BB66" s="77"/>
      <c r="BC66" s="77"/>
      <c r="BG66" s="166"/>
      <c r="BH66" s="166"/>
      <c r="BK66" s="166"/>
      <c r="BL66" s="166"/>
      <c r="BN66" s="166"/>
      <c r="BR66" s="137" t="str">
        <f t="shared" si="14"/>
        <v>--</v>
      </c>
      <c r="BS66" s="133" t="str">
        <f t="shared" si="15"/>
        <v>--</v>
      </c>
      <c r="BT66" s="132" t="str">
        <f t="shared" si="16"/>
        <v>--</v>
      </c>
      <c r="BU66" s="132" t="str">
        <f t="shared" si="17"/>
        <v>--</v>
      </c>
      <c r="BV66" s="132" t="str">
        <f t="shared" si="18"/>
        <v>--</v>
      </c>
      <c r="BW66" s="132" t="str">
        <f t="shared" si="19"/>
        <v>--</v>
      </c>
      <c r="BX66" s="132" t="str">
        <f t="shared" si="20"/>
        <v>--</v>
      </c>
      <c r="BY66" s="132" t="str">
        <f t="shared" si="21"/>
        <v>--</v>
      </c>
      <c r="BZ66" s="132" t="str">
        <f t="shared" si="22"/>
        <v>--</v>
      </c>
      <c r="CA66" s="132" t="str">
        <f t="shared" si="23"/>
        <v>--</v>
      </c>
      <c r="CB66" s="132" t="str">
        <f t="shared" si="24"/>
        <v>--</v>
      </c>
    </row>
    <row r="67" spans="2:80" x14ac:dyDescent="0.25">
      <c r="B67" s="77"/>
      <c r="C67" s="77"/>
      <c r="N67" s="141"/>
      <c r="O67" s="77"/>
      <c r="P67" s="144"/>
      <c r="Q67" s="141"/>
      <c r="S67" s="141"/>
      <c r="T67" s="77"/>
      <c r="V67" s="77"/>
      <c r="W67" s="141"/>
      <c r="AI67" s="77"/>
      <c r="AL67" s="77"/>
      <c r="AP67" s="77"/>
      <c r="AT67" s="77"/>
      <c r="AU67" s="77"/>
      <c r="AV67" s="77"/>
      <c r="AW67" s="77"/>
      <c r="AX67" s="77"/>
      <c r="AY67" s="77"/>
      <c r="BB67" s="77"/>
      <c r="BC67" s="77"/>
      <c r="BG67" s="166"/>
      <c r="BH67" s="166"/>
      <c r="BK67" s="166"/>
      <c r="BL67" s="166"/>
      <c r="BN67" s="166"/>
      <c r="BR67" s="137" t="str">
        <f t="shared" si="14"/>
        <v>--</v>
      </c>
      <c r="BS67" s="133" t="str">
        <f t="shared" si="15"/>
        <v>--</v>
      </c>
      <c r="BT67" s="132" t="str">
        <f t="shared" si="16"/>
        <v>--</v>
      </c>
      <c r="BU67" s="132" t="str">
        <f t="shared" si="17"/>
        <v>--</v>
      </c>
      <c r="BV67" s="132" t="str">
        <f t="shared" si="18"/>
        <v>--</v>
      </c>
      <c r="BW67" s="132" t="str">
        <f t="shared" si="19"/>
        <v>--</v>
      </c>
      <c r="BX67" s="132" t="str">
        <f t="shared" si="20"/>
        <v>--</v>
      </c>
      <c r="BY67" s="132" t="str">
        <f t="shared" si="21"/>
        <v>--</v>
      </c>
      <c r="BZ67" s="132" t="str">
        <f t="shared" si="22"/>
        <v>--</v>
      </c>
      <c r="CA67" s="132" t="str">
        <f t="shared" si="23"/>
        <v>--</v>
      </c>
      <c r="CB67" s="132" t="str">
        <f t="shared" si="24"/>
        <v>--</v>
      </c>
    </row>
    <row r="68" spans="2:80" x14ac:dyDescent="0.25">
      <c r="B68" s="77"/>
      <c r="C68" s="77"/>
      <c r="N68" s="141"/>
      <c r="O68" s="77"/>
      <c r="P68" s="144"/>
      <c r="Q68" s="141"/>
      <c r="S68" s="141"/>
      <c r="T68" s="77"/>
      <c r="V68" s="77"/>
      <c r="W68" s="141"/>
      <c r="AI68" s="77"/>
      <c r="AL68" s="77"/>
      <c r="AP68" s="77"/>
      <c r="AT68" s="77"/>
      <c r="AU68" s="77"/>
      <c r="AV68" s="77"/>
      <c r="AW68" s="77"/>
      <c r="AX68" s="77"/>
      <c r="AY68" s="77"/>
      <c r="BB68" s="77"/>
      <c r="BC68" s="77"/>
      <c r="BG68" s="166"/>
      <c r="BH68" s="166"/>
      <c r="BK68" s="166"/>
      <c r="BL68" s="166"/>
      <c r="BN68" s="166"/>
      <c r="BR68" s="137" t="str">
        <f t="shared" si="14"/>
        <v>--</v>
      </c>
      <c r="BS68" s="133" t="str">
        <f t="shared" si="15"/>
        <v>--</v>
      </c>
      <c r="BT68" s="132" t="str">
        <f t="shared" si="16"/>
        <v>--</v>
      </c>
      <c r="BU68" s="132" t="str">
        <f t="shared" si="17"/>
        <v>--</v>
      </c>
      <c r="BV68" s="132" t="str">
        <f t="shared" si="18"/>
        <v>--</v>
      </c>
      <c r="BW68" s="132" t="str">
        <f t="shared" si="19"/>
        <v>--</v>
      </c>
      <c r="BX68" s="132" t="str">
        <f t="shared" si="20"/>
        <v>--</v>
      </c>
      <c r="BY68" s="132" t="str">
        <f t="shared" si="21"/>
        <v>--</v>
      </c>
      <c r="BZ68" s="132" t="str">
        <f t="shared" si="22"/>
        <v>--</v>
      </c>
      <c r="CA68" s="132" t="str">
        <f t="shared" si="23"/>
        <v>--</v>
      </c>
      <c r="CB68" s="132" t="str">
        <f t="shared" si="24"/>
        <v>--</v>
      </c>
    </row>
    <row r="69" spans="2:80" x14ac:dyDescent="0.25">
      <c r="B69" s="77"/>
      <c r="C69" s="77"/>
      <c r="N69" s="141"/>
      <c r="O69" s="77"/>
      <c r="P69" s="144"/>
      <c r="Q69" s="141"/>
      <c r="S69" s="141"/>
      <c r="T69" s="77"/>
      <c r="V69" s="77"/>
      <c r="W69" s="141"/>
      <c r="AI69" s="77"/>
      <c r="AL69" s="77"/>
      <c r="AP69" s="77"/>
      <c r="AT69" s="77"/>
      <c r="AU69" s="77"/>
      <c r="AV69" s="77"/>
      <c r="AW69" s="77"/>
      <c r="AX69" s="77"/>
      <c r="AY69" s="77"/>
      <c r="BB69" s="77"/>
      <c r="BC69" s="77"/>
      <c r="BG69" s="166"/>
      <c r="BH69" s="166"/>
      <c r="BK69" s="166"/>
      <c r="BL69" s="166"/>
      <c r="BN69" s="166"/>
      <c r="BR69" s="137" t="str">
        <f t="shared" si="14"/>
        <v>--</v>
      </c>
      <c r="BS69" s="133" t="str">
        <f t="shared" si="15"/>
        <v>--</v>
      </c>
      <c r="BT69" s="132" t="str">
        <f t="shared" si="16"/>
        <v>--</v>
      </c>
      <c r="BU69" s="132" t="str">
        <f t="shared" si="17"/>
        <v>--</v>
      </c>
      <c r="BV69" s="132" t="str">
        <f t="shared" si="18"/>
        <v>--</v>
      </c>
      <c r="BW69" s="132" t="str">
        <f t="shared" si="19"/>
        <v>--</v>
      </c>
      <c r="BX69" s="132" t="str">
        <f t="shared" si="20"/>
        <v>--</v>
      </c>
      <c r="BY69" s="132" t="str">
        <f t="shared" si="21"/>
        <v>--</v>
      </c>
      <c r="BZ69" s="132" t="str">
        <f t="shared" si="22"/>
        <v>--</v>
      </c>
      <c r="CA69" s="132" t="str">
        <f t="shared" si="23"/>
        <v>--</v>
      </c>
      <c r="CB69" s="132" t="str">
        <f t="shared" si="24"/>
        <v>--</v>
      </c>
    </row>
    <row r="70" spans="2:80" x14ac:dyDescent="0.25">
      <c r="B70" s="77"/>
      <c r="C70" s="77"/>
      <c r="N70" s="141"/>
      <c r="O70" s="77"/>
      <c r="P70" s="144"/>
      <c r="Q70" s="141"/>
      <c r="S70" s="141"/>
      <c r="T70" s="77"/>
      <c r="V70" s="77"/>
      <c r="W70" s="141"/>
      <c r="AI70" s="77"/>
      <c r="AL70" s="77"/>
      <c r="AP70" s="77"/>
      <c r="AT70" s="77"/>
      <c r="AU70" s="77"/>
      <c r="AV70" s="77"/>
      <c r="AW70" s="77"/>
      <c r="AX70" s="77"/>
      <c r="AY70" s="77"/>
      <c r="BB70" s="77"/>
      <c r="BC70" s="77"/>
      <c r="BG70" s="166"/>
      <c r="BH70" s="166"/>
      <c r="BK70" s="166"/>
      <c r="BL70" s="166"/>
      <c r="BN70" s="166"/>
      <c r="BR70" s="137" t="str">
        <f t="shared" si="14"/>
        <v>--</v>
      </c>
      <c r="BS70" s="133" t="str">
        <f t="shared" si="15"/>
        <v>--</v>
      </c>
      <c r="BT70" s="132" t="str">
        <f t="shared" si="16"/>
        <v>--</v>
      </c>
      <c r="BU70" s="132" t="str">
        <f t="shared" si="17"/>
        <v>--</v>
      </c>
      <c r="BV70" s="132" t="str">
        <f t="shared" si="18"/>
        <v>--</v>
      </c>
      <c r="BW70" s="132" t="str">
        <f t="shared" si="19"/>
        <v>--</v>
      </c>
      <c r="BX70" s="132" t="str">
        <f t="shared" si="20"/>
        <v>--</v>
      </c>
      <c r="BY70" s="132" t="str">
        <f t="shared" si="21"/>
        <v>--</v>
      </c>
      <c r="BZ70" s="132" t="str">
        <f t="shared" si="22"/>
        <v>--</v>
      </c>
      <c r="CA70" s="132" t="str">
        <f t="shared" si="23"/>
        <v>--</v>
      </c>
      <c r="CB70" s="132" t="str">
        <f t="shared" si="24"/>
        <v>--</v>
      </c>
    </row>
    <row r="71" spans="2:80" x14ac:dyDescent="0.25">
      <c r="B71" s="77"/>
      <c r="C71" s="77"/>
      <c r="N71" s="141"/>
      <c r="O71" s="77"/>
      <c r="P71" s="144"/>
      <c r="Q71" s="141"/>
      <c r="S71" s="141"/>
      <c r="T71" s="77"/>
      <c r="V71" s="77"/>
      <c r="W71" s="141"/>
      <c r="AI71" s="77"/>
      <c r="AL71" s="77"/>
      <c r="AP71" s="77"/>
      <c r="AT71" s="77"/>
      <c r="AU71" s="77"/>
      <c r="AV71" s="77"/>
      <c r="AW71" s="77"/>
      <c r="AX71" s="77"/>
      <c r="AY71" s="77"/>
      <c r="BB71" s="77"/>
      <c r="BC71" s="77"/>
      <c r="BG71" s="166"/>
      <c r="BH71" s="166"/>
      <c r="BK71" s="166"/>
      <c r="BL71" s="166"/>
      <c r="BN71" s="166"/>
      <c r="BR71" s="137" t="str">
        <f t="shared" si="14"/>
        <v>--</v>
      </c>
      <c r="BS71" s="133" t="str">
        <f t="shared" si="15"/>
        <v>--</v>
      </c>
      <c r="BT71" s="132" t="str">
        <f t="shared" si="16"/>
        <v>--</v>
      </c>
      <c r="BU71" s="132" t="str">
        <f t="shared" si="17"/>
        <v>--</v>
      </c>
      <c r="BV71" s="132" t="str">
        <f t="shared" si="18"/>
        <v>--</v>
      </c>
      <c r="BW71" s="132" t="str">
        <f t="shared" si="19"/>
        <v>--</v>
      </c>
      <c r="BX71" s="132" t="str">
        <f t="shared" si="20"/>
        <v>--</v>
      </c>
      <c r="BY71" s="132" t="str">
        <f t="shared" si="21"/>
        <v>--</v>
      </c>
      <c r="BZ71" s="132" t="str">
        <f t="shared" si="22"/>
        <v>--</v>
      </c>
      <c r="CA71" s="132" t="str">
        <f t="shared" si="23"/>
        <v>--</v>
      </c>
      <c r="CB71" s="132" t="str">
        <f t="shared" si="24"/>
        <v>--</v>
      </c>
    </row>
    <row r="72" spans="2:80" x14ac:dyDescent="0.25">
      <c r="B72" s="77"/>
      <c r="C72" s="77"/>
      <c r="N72" s="141"/>
      <c r="O72" s="77"/>
      <c r="P72" s="144"/>
      <c r="Q72" s="141"/>
      <c r="S72" s="141"/>
      <c r="T72" s="77"/>
      <c r="V72" s="77"/>
      <c r="W72" s="141"/>
      <c r="AI72" s="77"/>
      <c r="AL72" s="77"/>
      <c r="AP72" s="77"/>
      <c r="AT72" s="77"/>
      <c r="AU72" s="77"/>
      <c r="AV72" s="77"/>
      <c r="AW72" s="77"/>
      <c r="AX72" s="77"/>
      <c r="AY72" s="77"/>
      <c r="BB72" s="77"/>
      <c r="BC72" s="77"/>
      <c r="BG72" s="166"/>
      <c r="BH72" s="166"/>
      <c r="BK72" s="166"/>
      <c r="BL72" s="166"/>
      <c r="BN72" s="166"/>
      <c r="BR72" s="137" t="str">
        <f t="shared" si="14"/>
        <v>--</v>
      </c>
      <c r="BS72" s="133" t="str">
        <f t="shared" si="15"/>
        <v>--</v>
      </c>
      <c r="BT72" s="132" t="str">
        <f t="shared" si="16"/>
        <v>--</v>
      </c>
      <c r="BU72" s="132" t="str">
        <f t="shared" si="17"/>
        <v>--</v>
      </c>
      <c r="BV72" s="132" t="str">
        <f t="shared" si="18"/>
        <v>--</v>
      </c>
      <c r="BW72" s="132" t="str">
        <f t="shared" si="19"/>
        <v>--</v>
      </c>
      <c r="BX72" s="132" t="str">
        <f t="shared" si="20"/>
        <v>--</v>
      </c>
      <c r="BY72" s="132" t="str">
        <f t="shared" si="21"/>
        <v>--</v>
      </c>
      <c r="BZ72" s="132" t="str">
        <f t="shared" si="22"/>
        <v>--</v>
      </c>
      <c r="CA72" s="132" t="str">
        <f t="shared" si="23"/>
        <v>--</v>
      </c>
      <c r="CB72" s="132" t="str">
        <f t="shared" si="24"/>
        <v>--</v>
      </c>
    </row>
    <row r="73" spans="2:80" x14ac:dyDescent="0.25">
      <c r="B73" s="77"/>
      <c r="C73" s="77"/>
      <c r="N73" s="141"/>
      <c r="O73" s="77"/>
      <c r="P73" s="144"/>
      <c r="Q73" s="141"/>
      <c r="S73" s="141"/>
      <c r="T73" s="77"/>
      <c r="V73" s="77"/>
      <c r="W73" s="141"/>
      <c r="AI73" s="77"/>
      <c r="AL73" s="77"/>
      <c r="AP73" s="77"/>
      <c r="AT73" s="77"/>
      <c r="AU73" s="77"/>
      <c r="AV73" s="77"/>
      <c r="AW73" s="77"/>
      <c r="AX73" s="77"/>
      <c r="AY73" s="77"/>
      <c r="BB73" s="77"/>
      <c r="BC73" s="77"/>
      <c r="BG73" s="166"/>
      <c r="BH73" s="166"/>
      <c r="BK73" s="166"/>
      <c r="BL73" s="166"/>
      <c r="BN73" s="166"/>
      <c r="BR73" s="137" t="str">
        <f t="shared" si="14"/>
        <v>--</v>
      </c>
      <c r="BS73" s="133" t="str">
        <f t="shared" si="15"/>
        <v>--</v>
      </c>
      <c r="BT73" s="132" t="str">
        <f t="shared" si="16"/>
        <v>--</v>
      </c>
      <c r="BU73" s="132" t="str">
        <f t="shared" si="17"/>
        <v>--</v>
      </c>
      <c r="BV73" s="132" t="str">
        <f t="shared" si="18"/>
        <v>--</v>
      </c>
      <c r="BW73" s="132" t="str">
        <f t="shared" si="19"/>
        <v>--</v>
      </c>
      <c r="BX73" s="132" t="str">
        <f t="shared" si="20"/>
        <v>--</v>
      </c>
      <c r="BY73" s="132" t="str">
        <f t="shared" si="21"/>
        <v>--</v>
      </c>
      <c r="BZ73" s="132" t="str">
        <f t="shared" si="22"/>
        <v>--</v>
      </c>
      <c r="CA73" s="132" t="str">
        <f t="shared" si="23"/>
        <v>--</v>
      </c>
      <c r="CB73" s="132" t="str">
        <f t="shared" si="24"/>
        <v>--</v>
      </c>
    </row>
    <row r="74" spans="2:80" x14ac:dyDescent="0.25">
      <c r="B74" s="77"/>
      <c r="C74" s="77"/>
      <c r="N74" s="141"/>
      <c r="O74" s="77"/>
      <c r="P74" s="144"/>
      <c r="Q74" s="141"/>
      <c r="S74" s="141"/>
      <c r="T74" s="77"/>
      <c r="V74" s="77"/>
      <c r="W74" s="141"/>
      <c r="AI74" s="77"/>
      <c r="AL74" s="77"/>
      <c r="AP74" s="77"/>
      <c r="AT74" s="77"/>
      <c r="AU74" s="77"/>
      <c r="AV74" s="77"/>
      <c r="AW74" s="77"/>
      <c r="AX74" s="77"/>
      <c r="AY74" s="77"/>
      <c r="BB74" s="77"/>
      <c r="BC74" s="77"/>
      <c r="BG74" s="166"/>
      <c r="BH74" s="166"/>
      <c r="BK74" s="166"/>
      <c r="BL74" s="166"/>
      <c r="BN74" s="166"/>
      <c r="BR74" s="137" t="str">
        <f t="shared" si="14"/>
        <v>--</v>
      </c>
      <c r="BS74" s="133" t="str">
        <f t="shared" si="15"/>
        <v>--</v>
      </c>
      <c r="BT74" s="132" t="str">
        <f t="shared" si="16"/>
        <v>--</v>
      </c>
      <c r="BU74" s="132" t="str">
        <f t="shared" si="17"/>
        <v>--</v>
      </c>
      <c r="BV74" s="132" t="str">
        <f t="shared" si="18"/>
        <v>--</v>
      </c>
      <c r="BW74" s="132" t="str">
        <f t="shared" si="19"/>
        <v>--</v>
      </c>
      <c r="BX74" s="132" t="str">
        <f t="shared" si="20"/>
        <v>--</v>
      </c>
      <c r="BY74" s="132" t="str">
        <f t="shared" si="21"/>
        <v>--</v>
      </c>
      <c r="BZ74" s="132" t="str">
        <f t="shared" si="22"/>
        <v>--</v>
      </c>
      <c r="CA74" s="132" t="str">
        <f t="shared" si="23"/>
        <v>--</v>
      </c>
      <c r="CB74" s="132" t="str">
        <f t="shared" si="24"/>
        <v>--</v>
      </c>
    </row>
    <row r="75" spans="2:80" x14ac:dyDescent="0.25">
      <c r="B75" s="77"/>
      <c r="C75" s="77"/>
      <c r="N75" s="141"/>
      <c r="O75" s="77"/>
      <c r="P75" s="144"/>
      <c r="Q75" s="141"/>
      <c r="S75" s="141"/>
      <c r="T75" s="77"/>
      <c r="V75" s="77"/>
      <c r="W75" s="141"/>
      <c r="AI75" s="77"/>
      <c r="AL75" s="77"/>
      <c r="AP75" s="77"/>
      <c r="AT75" s="77"/>
      <c r="AU75" s="77"/>
      <c r="AV75" s="77"/>
      <c r="AW75" s="77"/>
      <c r="AX75" s="77"/>
      <c r="AY75" s="77"/>
      <c r="BB75" s="77"/>
      <c r="BC75" s="77"/>
      <c r="BG75" s="166"/>
      <c r="BH75" s="166"/>
      <c r="BK75" s="166"/>
      <c r="BL75" s="166"/>
      <c r="BN75" s="166"/>
      <c r="BR75" s="137" t="str">
        <f t="shared" si="14"/>
        <v>--</v>
      </c>
      <c r="BS75" s="133" t="str">
        <f t="shared" si="15"/>
        <v>--</v>
      </c>
      <c r="BT75" s="132" t="str">
        <f t="shared" si="16"/>
        <v>--</v>
      </c>
      <c r="BU75" s="132" t="str">
        <f t="shared" si="17"/>
        <v>--</v>
      </c>
      <c r="BV75" s="132" t="str">
        <f t="shared" si="18"/>
        <v>--</v>
      </c>
      <c r="BW75" s="132" t="str">
        <f t="shared" si="19"/>
        <v>--</v>
      </c>
      <c r="BX75" s="132" t="str">
        <f t="shared" si="20"/>
        <v>--</v>
      </c>
      <c r="BY75" s="132" t="str">
        <f t="shared" si="21"/>
        <v>--</v>
      </c>
      <c r="BZ75" s="132" t="str">
        <f t="shared" si="22"/>
        <v>--</v>
      </c>
      <c r="CA75" s="132" t="str">
        <f t="shared" si="23"/>
        <v>--</v>
      </c>
      <c r="CB75" s="132" t="str">
        <f t="shared" si="24"/>
        <v>--</v>
      </c>
    </row>
    <row r="76" spans="2:80" x14ac:dyDescent="0.25">
      <c r="B76" s="77"/>
      <c r="C76" s="77"/>
      <c r="N76" s="141"/>
      <c r="O76" s="77"/>
      <c r="P76" s="144"/>
      <c r="Q76" s="141"/>
      <c r="S76" s="141"/>
      <c r="T76" s="77"/>
      <c r="V76" s="77"/>
      <c r="W76" s="141"/>
      <c r="AI76" s="77"/>
      <c r="AL76" s="77"/>
      <c r="AP76" s="77"/>
      <c r="AT76" s="77"/>
      <c r="AU76" s="77"/>
      <c r="AV76" s="77"/>
      <c r="AW76" s="77"/>
      <c r="AX76" s="77"/>
      <c r="AY76" s="77"/>
      <c r="BB76" s="77"/>
      <c r="BC76" s="77"/>
      <c r="BG76" s="166"/>
      <c r="BH76" s="166"/>
      <c r="BK76" s="166"/>
      <c r="BL76" s="166"/>
      <c r="BN76" s="166"/>
      <c r="BR76" s="137" t="str">
        <f t="shared" si="14"/>
        <v>--</v>
      </c>
      <c r="BS76" s="133" t="str">
        <f t="shared" si="15"/>
        <v>--</v>
      </c>
      <c r="BT76" s="132" t="str">
        <f t="shared" si="16"/>
        <v>--</v>
      </c>
      <c r="BU76" s="132" t="str">
        <f t="shared" si="17"/>
        <v>--</v>
      </c>
      <c r="BV76" s="132" t="str">
        <f t="shared" si="18"/>
        <v>--</v>
      </c>
      <c r="BW76" s="132" t="str">
        <f t="shared" si="19"/>
        <v>--</v>
      </c>
      <c r="BX76" s="132" t="str">
        <f t="shared" si="20"/>
        <v>--</v>
      </c>
      <c r="BY76" s="132" t="str">
        <f t="shared" si="21"/>
        <v>--</v>
      </c>
      <c r="BZ76" s="132" t="str">
        <f t="shared" si="22"/>
        <v>--</v>
      </c>
      <c r="CA76" s="132" t="str">
        <f t="shared" si="23"/>
        <v>--</v>
      </c>
      <c r="CB76" s="132" t="str">
        <f t="shared" si="24"/>
        <v>--</v>
      </c>
    </row>
    <row r="77" spans="2:80" x14ac:dyDescent="0.25">
      <c r="B77" s="77"/>
      <c r="C77" s="77"/>
      <c r="N77" s="141"/>
      <c r="O77" s="77"/>
      <c r="P77" s="144"/>
      <c r="Q77" s="141"/>
      <c r="S77" s="141"/>
      <c r="T77" s="77"/>
      <c r="V77" s="77"/>
      <c r="W77" s="141"/>
      <c r="AI77" s="77"/>
      <c r="AL77" s="77"/>
      <c r="AP77" s="77"/>
      <c r="AT77" s="77"/>
      <c r="AU77" s="77"/>
      <c r="AV77" s="77"/>
      <c r="AW77" s="77"/>
      <c r="AX77" s="77"/>
      <c r="AY77" s="77"/>
      <c r="BB77" s="77"/>
      <c r="BC77" s="77"/>
      <c r="BG77" s="166"/>
      <c r="BH77" s="166"/>
      <c r="BK77" s="166"/>
      <c r="BL77" s="166"/>
      <c r="BN77" s="166"/>
      <c r="BR77" s="137" t="str">
        <f t="shared" si="14"/>
        <v>--</v>
      </c>
      <c r="BS77" s="133" t="str">
        <f t="shared" si="15"/>
        <v>--</v>
      </c>
      <c r="BT77" s="132" t="str">
        <f t="shared" si="16"/>
        <v>--</v>
      </c>
      <c r="BU77" s="132" t="str">
        <f t="shared" si="17"/>
        <v>--</v>
      </c>
      <c r="BV77" s="132" t="str">
        <f t="shared" si="18"/>
        <v>--</v>
      </c>
      <c r="BW77" s="132" t="str">
        <f t="shared" si="19"/>
        <v>--</v>
      </c>
      <c r="BX77" s="132" t="str">
        <f t="shared" si="20"/>
        <v>--</v>
      </c>
      <c r="BY77" s="132" t="str">
        <f t="shared" si="21"/>
        <v>--</v>
      </c>
      <c r="BZ77" s="132" t="str">
        <f t="shared" si="22"/>
        <v>--</v>
      </c>
      <c r="CA77" s="132" t="str">
        <f t="shared" si="23"/>
        <v>--</v>
      </c>
      <c r="CB77" s="132" t="str">
        <f t="shared" si="24"/>
        <v>--</v>
      </c>
    </row>
    <row r="78" spans="2:80" x14ac:dyDescent="0.25">
      <c r="B78" s="77"/>
      <c r="C78" s="77"/>
      <c r="N78" s="141"/>
      <c r="O78" s="77"/>
      <c r="P78" s="144"/>
      <c r="Q78" s="141"/>
      <c r="S78" s="141"/>
      <c r="T78" s="77"/>
      <c r="V78" s="77"/>
      <c r="W78" s="141"/>
      <c r="AI78" s="77"/>
      <c r="AL78" s="77"/>
      <c r="AP78" s="77"/>
      <c r="AT78" s="77"/>
      <c r="AU78" s="77"/>
      <c r="AV78" s="77"/>
      <c r="AW78" s="77"/>
      <c r="AX78" s="77"/>
      <c r="AY78" s="77"/>
      <c r="BB78" s="77"/>
      <c r="BC78" s="77"/>
      <c r="BG78" s="166"/>
      <c r="BH78" s="166"/>
      <c r="BK78" s="166"/>
      <c r="BL78" s="166"/>
      <c r="BN78" s="166"/>
      <c r="BR78" s="137" t="str">
        <f t="shared" si="14"/>
        <v>--</v>
      </c>
      <c r="BS78" s="133" t="str">
        <f t="shared" si="15"/>
        <v>--</v>
      </c>
      <c r="BT78" s="132" t="str">
        <f t="shared" si="16"/>
        <v>--</v>
      </c>
      <c r="BU78" s="132" t="str">
        <f t="shared" si="17"/>
        <v>--</v>
      </c>
      <c r="BV78" s="132" t="str">
        <f t="shared" si="18"/>
        <v>--</v>
      </c>
      <c r="BW78" s="132" t="str">
        <f t="shared" si="19"/>
        <v>--</v>
      </c>
      <c r="BX78" s="132" t="str">
        <f t="shared" si="20"/>
        <v>--</v>
      </c>
      <c r="BY78" s="132" t="str">
        <f t="shared" si="21"/>
        <v>--</v>
      </c>
      <c r="BZ78" s="132" t="str">
        <f t="shared" si="22"/>
        <v>--</v>
      </c>
      <c r="CA78" s="132" t="str">
        <f t="shared" si="23"/>
        <v>--</v>
      </c>
      <c r="CB78" s="132" t="str">
        <f t="shared" si="24"/>
        <v>--</v>
      </c>
    </row>
    <row r="79" spans="2:80" x14ac:dyDescent="0.25">
      <c r="B79" s="77"/>
      <c r="C79" s="77"/>
      <c r="N79" s="141"/>
      <c r="O79" s="77"/>
      <c r="P79" s="144"/>
      <c r="Q79" s="141"/>
      <c r="S79" s="141"/>
      <c r="T79" s="77"/>
      <c r="V79" s="77"/>
      <c r="W79" s="141"/>
      <c r="AI79" s="77"/>
      <c r="AL79" s="77"/>
      <c r="AP79" s="77"/>
      <c r="AT79" s="77"/>
      <c r="AU79" s="77"/>
      <c r="AV79" s="77"/>
      <c r="AW79" s="77"/>
      <c r="AX79" s="77"/>
      <c r="AY79" s="77"/>
      <c r="BB79" s="77"/>
      <c r="BC79" s="77"/>
      <c r="BG79" s="166"/>
      <c r="BH79" s="166"/>
      <c r="BK79" s="166"/>
      <c r="BL79" s="166"/>
      <c r="BN79" s="166"/>
      <c r="BR79" s="137" t="str">
        <f t="shared" si="14"/>
        <v>--</v>
      </c>
      <c r="BS79" s="133" t="str">
        <f t="shared" si="15"/>
        <v>--</v>
      </c>
      <c r="BT79" s="132" t="str">
        <f t="shared" si="16"/>
        <v>--</v>
      </c>
      <c r="BU79" s="132" t="str">
        <f t="shared" si="17"/>
        <v>--</v>
      </c>
      <c r="BV79" s="132" t="str">
        <f t="shared" si="18"/>
        <v>--</v>
      </c>
      <c r="BW79" s="132" t="str">
        <f t="shared" si="19"/>
        <v>--</v>
      </c>
      <c r="BX79" s="132" t="str">
        <f t="shared" si="20"/>
        <v>--</v>
      </c>
      <c r="BY79" s="132" t="str">
        <f t="shared" si="21"/>
        <v>--</v>
      </c>
      <c r="BZ79" s="132" t="str">
        <f t="shared" si="22"/>
        <v>--</v>
      </c>
      <c r="CA79" s="132" t="str">
        <f t="shared" si="23"/>
        <v>--</v>
      </c>
      <c r="CB79" s="132" t="str">
        <f t="shared" si="24"/>
        <v>--</v>
      </c>
    </row>
    <row r="80" spans="2:80" x14ac:dyDescent="0.25">
      <c r="B80" s="77"/>
      <c r="C80" s="77"/>
      <c r="N80" s="141"/>
      <c r="O80" s="77"/>
      <c r="P80" s="144"/>
      <c r="Q80" s="141"/>
      <c r="S80" s="141"/>
      <c r="T80" s="77"/>
      <c r="V80" s="77"/>
      <c r="W80" s="141"/>
      <c r="AI80" s="77"/>
      <c r="AL80" s="77"/>
      <c r="AP80" s="77"/>
      <c r="AT80" s="77"/>
      <c r="AU80" s="77"/>
      <c r="AV80" s="77"/>
      <c r="AW80" s="77"/>
      <c r="AX80" s="77"/>
      <c r="AY80" s="77"/>
      <c r="BB80" s="77"/>
      <c r="BC80" s="77"/>
      <c r="BG80" s="166"/>
      <c r="BH80" s="166"/>
      <c r="BK80" s="166"/>
      <c r="BL80" s="166"/>
      <c r="BN80" s="166"/>
      <c r="BR80" s="137" t="str">
        <f t="shared" si="14"/>
        <v>--</v>
      </c>
      <c r="BS80" s="133" t="str">
        <f t="shared" si="15"/>
        <v>--</v>
      </c>
      <c r="BT80" s="132" t="str">
        <f t="shared" si="16"/>
        <v>--</v>
      </c>
      <c r="BU80" s="132" t="str">
        <f t="shared" si="17"/>
        <v>--</v>
      </c>
      <c r="BV80" s="132" t="str">
        <f t="shared" si="18"/>
        <v>--</v>
      </c>
      <c r="BW80" s="132" t="str">
        <f t="shared" si="19"/>
        <v>--</v>
      </c>
      <c r="BX80" s="132" t="str">
        <f t="shared" si="20"/>
        <v>--</v>
      </c>
      <c r="BY80" s="132" t="str">
        <f t="shared" si="21"/>
        <v>--</v>
      </c>
      <c r="BZ80" s="132" t="str">
        <f t="shared" si="22"/>
        <v>--</v>
      </c>
      <c r="CA80" s="132" t="str">
        <f t="shared" si="23"/>
        <v>--</v>
      </c>
      <c r="CB80" s="132" t="str">
        <f t="shared" si="24"/>
        <v>--</v>
      </c>
    </row>
    <row r="81" spans="2:80" x14ac:dyDescent="0.25">
      <c r="B81" s="77"/>
      <c r="C81" s="77"/>
      <c r="N81" s="141"/>
      <c r="O81" s="77"/>
      <c r="P81" s="144"/>
      <c r="Q81" s="141"/>
      <c r="S81" s="141"/>
      <c r="T81" s="77"/>
      <c r="V81" s="77"/>
      <c r="W81" s="141"/>
      <c r="AI81" s="77"/>
      <c r="AL81" s="77"/>
      <c r="AP81" s="77"/>
      <c r="AT81" s="77"/>
      <c r="AU81" s="77"/>
      <c r="AV81" s="77"/>
      <c r="AW81" s="77"/>
      <c r="AX81" s="77"/>
      <c r="AY81" s="77"/>
      <c r="BB81" s="77"/>
      <c r="BC81" s="77"/>
      <c r="BG81" s="166"/>
      <c r="BH81" s="166"/>
      <c r="BK81" s="166"/>
      <c r="BL81" s="166"/>
      <c r="BN81" s="166"/>
      <c r="BR81" s="137" t="str">
        <f t="shared" si="14"/>
        <v>--</v>
      </c>
      <c r="BS81" s="133" t="str">
        <f t="shared" si="15"/>
        <v>--</v>
      </c>
      <c r="BT81" s="132" t="str">
        <f t="shared" si="16"/>
        <v>--</v>
      </c>
      <c r="BU81" s="132" t="str">
        <f t="shared" si="17"/>
        <v>--</v>
      </c>
      <c r="BV81" s="132" t="str">
        <f t="shared" si="18"/>
        <v>--</v>
      </c>
      <c r="BW81" s="132" t="str">
        <f t="shared" si="19"/>
        <v>--</v>
      </c>
      <c r="BX81" s="132" t="str">
        <f t="shared" si="20"/>
        <v>--</v>
      </c>
      <c r="BY81" s="132" t="str">
        <f t="shared" si="21"/>
        <v>--</v>
      </c>
      <c r="BZ81" s="132" t="str">
        <f t="shared" si="22"/>
        <v>--</v>
      </c>
      <c r="CA81" s="132" t="str">
        <f t="shared" si="23"/>
        <v>--</v>
      </c>
      <c r="CB81" s="132" t="str">
        <f t="shared" si="24"/>
        <v>--</v>
      </c>
    </row>
    <row r="82" spans="2:80" x14ac:dyDescent="0.25">
      <c r="B82" s="77"/>
      <c r="C82" s="77"/>
      <c r="N82" s="141"/>
      <c r="O82" s="77"/>
      <c r="P82" s="144"/>
      <c r="Q82" s="141"/>
      <c r="S82" s="141"/>
      <c r="T82" s="77"/>
      <c r="V82" s="77"/>
      <c r="W82" s="141"/>
      <c r="AI82" s="77"/>
      <c r="AL82" s="77"/>
      <c r="AP82" s="77"/>
      <c r="AT82" s="77"/>
      <c r="AU82" s="77"/>
      <c r="AV82" s="77"/>
      <c r="AW82" s="77"/>
      <c r="AX82" s="77"/>
      <c r="AY82" s="77"/>
      <c r="BB82" s="77"/>
      <c r="BC82" s="77"/>
      <c r="BG82" s="166"/>
      <c r="BH82" s="166"/>
      <c r="BK82" s="166"/>
      <c r="BL82" s="166"/>
      <c r="BN82" s="166"/>
      <c r="BR82" s="137" t="str">
        <f t="shared" si="14"/>
        <v>--</v>
      </c>
      <c r="BS82" s="133" t="str">
        <f t="shared" si="15"/>
        <v>--</v>
      </c>
      <c r="BT82" s="132" t="str">
        <f t="shared" si="16"/>
        <v>--</v>
      </c>
      <c r="BU82" s="132" t="str">
        <f t="shared" si="17"/>
        <v>--</v>
      </c>
      <c r="BV82" s="132" t="str">
        <f t="shared" si="18"/>
        <v>--</v>
      </c>
      <c r="BW82" s="132" t="str">
        <f t="shared" si="19"/>
        <v>--</v>
      </c>
      <c r="BX82" s="132" t="str">
        <f t="shared" si="20"/>
        <v>--</v>
      </c>
      <c r="BY82" s="132" t="str">
        <f t="shared" si="21"/>
        <v>--</v>
      </c>
      <c r="BZ82" s="132" t="str">
        <f t="shared" si="22"/>
        <v>--</v>
      </c>
      <c r="CA82" s="132" t="str">
        <f t="shared" si="23"/>
        <v>--</v>
      </c>
      <c r="CB82" s="132" t="str">
        <f t="shared" si="24"/>
        <v>--</v>
      </c>
    </row>
    <row r="83" spans="2:80" x14ac:dyDescent="0.25">
      <c r="B83" s="77"/>
      <c r="C83" s="77"/>
      <c r="N83" s="141"/>
      <c r="O83" s="77"/>
      <c r="P83" s="144"/>
      <c r="Q83" s="141"/>
      <c r="S83" s="141"/>
      <c r="T83" s="77"/>
      <c r="V83" s="77"/>
      <c r="W83" s="141"/>
      <c r="AI83" s="77"/>
      <c r="AL83" s="77"/>
      <c r="AP83" s="77"/>
      <c r="AT83" s="77"/>
      <c r="AU83" s="77"/>
      <c r="AV83" s="77"/>
      <c r="AW83" s="77"/>
      <c r="AX83" s="77"/>
      <c r="AY83" s="77"/>
      <c r="BB83" s="77"/>
      <c r="BC83" s="77"/>
      <c r="BG83" s="166"/>
      <c r="BH83" s="166"/>
      <c r="BK83" s="166"/>
      <c r="BL83" s="166"/>
      <c r="BN83" s="166"/>
      <c r="BR83" s="137" t="str">
        <f t="shared" si="14"/>
        <v>--</v>
      </c>
      <c r="BS83" s="133" t="str">
        <f t="shared" si="15"/>
        <v>--</v>
      </c>
      <c r="BT83" s="132" t="str">
        <f t="shared" si="16"/>
        <v>--</v>
      </c>
      <c r="BU83" s="132" t="str">
        <f t="shared" si="17"/>
        <v>--</v>
      </c>
      <c r="BV83" s="132" t="str">
        <f t="shared" si="18"/>
        <v>--</v>
      </c>
      <c r="BW83" s="132" t="str">
        <f t="shared" si="19"/>
        <v>--</v>
      </c>
      <c r="BX83" s="132" t="str">
        <f t="shared" si="20"/>
        <v>--</v>
      </c>
      <c r="BY83" s="132" t="str">
        <f t="shared" si="21"/>
        <v>--</v>
      </c>
      <c r="BZ83" s="132" t="str">
        <f t="shared" si="22"/>
        <v>--</v>
      </c>
      <c r="CA83" s="132" t="str">
        <f t="shared" si="23"/>
        <v>--</v>
      </c>
      <c r="CB83" s="132" t="str">
        <f t="shared" si="24"/>
        <v>--</v>
      </c>
    </row>
    <row r="84" spans="2:80" x14ac:dyDescent="0.25">
      <c r="B84" s="77"/>
      <c r="C84" s="77"/>
      <c r="N84" s="141"/>
      <c r="O84" s="77"/>
      <c r="P84" s="144"/>
      <c r="Q84" s="141"/>
      <c r="S84" s="141"/>
      <c r="T84" s="77"/>
      <c r="V84" s="77"/>
      <c r="W84" s="141"/>
      <c r="AI84" s="77"/>
      <c r="AL84" s="77"/>
      <c r="AP84" s="77"/>
      <c r="AT84" s="77"/>
      <c r="AU84" s="77"/>
      <c r="AV84" s="77"/>
      <c r="AW84" s="77"/>
      <c r="AX84" s="77"/>
      <c r="AY84" s="77"/>
      <c r="BB84" s="77"/>
      <c r="BC84" s="77"/>
      <c r="BG84" s="166"/>
      <c r="BH84" s="166"/>
      <c r="BK84" s="166"/>
      <c r="BL84" s="166"/>
      <c r="BN84" s="166"/>
      <c r="BR84" s="137" t="str">
        <f t="shared" si="14"/>
        <v>--</v>
      </c>
      <c r="BS84" s="133" t="str">
        <f t="shared" si="15"/>
        <v>--</v>
      </c>
      <c r="BT84" s="132" t="str">
        <f t="shared" si="16"/>
        <v>--</v>
      </c>
      <c r="BU84" s="132" t="str">
        <f t="shared" si="17"/>
        <v>--</v>
      </c>
      <c r="BV84" s="132" t="str">
        <f t="shared" si="18"/>
        <v>--</v>
      </c>
      <c r="BW84" s="132" t="str">
        <f t="shared" si="19"/>
        <v>--</v>
      </c>
      <c r="BX84" s="132" t="str">
        <f t="shared" si="20"/>
        <v>--</v>
      </c>
      <c r="BY84" s="132" t="str">
        <f t="shared" si="21"/>
        <v>--</v>
      </c>
      <c r="BZ84" s="132" t="str">
        <f t="shared" si="22"/>
        <v>--</v>
      </c>
      <c r="CA84" s="132" t="str">
        <f t="shared" si="23"/>
        <v>--</v>
      </c>
      <c r="CB84" s="132" t="str">
        <f t="shared" si="24"/>
        <v>--</v>
      </c>
    </row>
    <row r="85" spans="2:80" x14ac:dyDescent="0.25">
      <c r="B85" s="77"/>
      <c r="C85" s="77"/>
      <c r="N85" s="141"/>
      <c r="O85" s="77"/>
      <c r="P85" s="144"/>
      <c r="Q85" s="141"/>
      <c r="S85" s="141"/>
      <c r="T85" s="77"/>
      <c r="V85" s="77"/>
      <c r="W85" s="141"/>
      <c r="AI85" s="77"/>
      <c r="AL85" s="77"/>
      <c r="AP85" s="77"/>
      <c r="AT85" s="77"/>
      <c r="AU85" s="77"/>
      <c r="AV85" s="77"/>
      <c r="AW85" s="77"/>
      <c r="AX85" s="77"/>
      <c r="AY85" s="77"/>
      <c r="BB85" s="77"/>
      <c r="BC85" s="77"/>
      <c r="BG85" s="166"/>
      <c r="BH85" s="166"/>
      <c r="BK85" s="166"/>
      <c r="BL85" s="166"/>
      <c r="BN85" s="166"/>
      <c r="BR85" s="137" t="str">
        <f t="shared" si="14"/>
        <v>--</v>
      </c>
      <c r="BS85" s="133" t="str">
        <f t="shared" si="15"/>
        <v>--</v>
      </c>
      <c r="BT85" s="132" t="str">
        <f t="shared" si="16"/>
        <v>--</v>
      </c>
      <c r="BU85" s="132" t="str">
        <f t="shared" si="17"/>
        <v>--</v>
      </c>
      <c r="BV85" s="132" t="str">
        <f t="shared" si="18"/>
        <v>--</v>
      </c>
      <c r="BW85" s="132" t="str">
        <f t="shared" si="19"/>
        <v>--</v>
      </c>
      <c r="BX85" s="132" t="str">
        <f t="shared" si="20"/>
        <v>--</v>
      </c>
      <c r="BY85" s="132" t="str">
        <f t="shared" si="21"/>
        <v>--</v>
      </c>
      <c r="BZ85" s="132" t="str">
        <f t="shared" si="22"/>
        <v>--</v>
      </c>
      <c r="CA85" s="132" t="str">
        <f t="shared" si="23"/>
        <v>--</v>
      </c>
      <c r="CB85" s="132" t="str">
        <f t="shared" si="24"/>
        <v>--</v>
      </c>
    </row>
    <row r="86" spans="2:80" x14ac:dyDescent="0.25">
      <c r="B86" s="77"/>
      <c r="C86" s="77"/>
      <c r="N86" s="141"/>
      <c r="O86" s="77"/>
      <c r="P86" s="144"/>
      <c r="Q86" s="141"/>
      <c r="S86" s="141"/>
      <c r="T86" s="77"/>
      <c r="V86" s="77"/>
      <c r="W86" s="141"/>
      <c r="AI86" s="77"/>
      <c r="AL86" s="77"/>
      <c r="AP86" s="77"/>
      <c r="AT86" s="77"/>
      <c r="AU86" s="77"/>
      <c r="AV86" s="77"/>
      <c r="AW86" s="77"/>
      <c r="AX86" s="77"/>
      <c r="AY86" s="77"/>
      <c r="BB86" s="77"/>
      <c r="BC86" s="77"/>
      <c r="BG86" s="166"/>
      <c r="BH86" s="166"/>
      <c r="BK86" s="166"/>
      <c r="BL86" s="166"/>
      <c r="BN86" s="166"/>
      <c r="BR86" s="137" t="str">
        <f t="shared" si="14"/>
        <v>--</v>
      </c>
      <c r="BS86" s="133" t="str">
        <f t="shared" si="15"/>
        <v>--</v>
      </c>
      <c r="BT86" s="132" t="str">
        <f t="shared" si="16"/>
        <v>--</v>
      </c>
      <c r="BU86" s="132" t="str">
        <f t="shared" si="17"/>
        <v>--</v>
      </c>
      <c r="BV86" s="132" t="str">
        <f t="shared" si="18"/>
        <v>--</v>
      </c>
      <c r="BW86" s="132" t="str">
        <f t="shared" si="19"/>
        <v>--</v>
      </c>
      <c r="BX86" s="132" t="str">
        <f t="shared" si="20"/>
        <v>--</v>
      </c>
      <c r="BY86" s="132" t="str">
        <f t="shared" si="21"/>
        <v>--</v>
      </c>
      <c r="BZ86" s="132" t="str">
        <f t="shared" si="22"/>
        <v>--</v>
      </c>
      <c r="CA86" s="132" t="str">
        <f t="shared" si="23"/>
        <v>--</v>
      </c>
      <c r="CB86" s="132" t="str">
        <f t="shared" si="24"/>
        <v>--</v>
      </c>
    </row>
    <row r="87" spans="2:80" x14ac:dyDescent="0.25">
      <c r="B87" s="77"/>
      <c r="C87" s="77"/>
      <c r="N87" s="141"/>
      <c r="O87" s="77"/>
      <c r="P87" s="144"/>
      <c r="Q87" s="141"/>
      <c r="S87" s="141"/>
      <c r="T87" s="77"/>
      <c r="V87" s="77"/>
      <c r="W87" s="141"/>
      <c r="AI87" s="77"/>
      <c r="AL87" s="77"/>
      <c r="AP87" s="77"/>
      <c r="AT87" s="77"/>
      <c r="AU87" s="77"/>
      <c r="AV87" s="77"/>
      <c r="AW87" s="77"/>
      <c r="AX87" s="77"/>
      <c r="AY87" s="77"/>
      <c r="BB87" s="77"/>
      <c r="BC87" s="77"/>
      <c r="BG87" s="166"/>
      <c r="BH87" s="166"/>
      <c r="BK87" s="166"/>
      <c r="BL87" s="166"/>
      <c r="BN87" s="166"/>
      <c r="BR87" s="137" t="str">
        <f t="shared" si="14"/>
        <v>--</v>
      </c>
      <c r="BS87" s="133" t="str">
        <f t="shared" si="15"/>
        <v>--</v>
      </c>
      <c r="BT87" s="132" t="str">
        <f t="shared" si="16"/>
        <v>--</v>
      </c>
      <c r="BU87" s="132" t="str">
        <f t="shared" si="17"/>
        <v>--</v>
      </c>
      <c r="BV87" s="132" t="str">
        <f t="shared" si="18"/>
        <v>--</v>
      </c>
      <c r="BW87" s="132" t="str">
        <f t="shared" si="19"/>
        <v>--</v>
      </c>
      <c r="BX87" s="132" t="str">
        <f t="shared" si="20"/>
        <v>--</v>
      </c>
      <c r="BY87" s="132" t="str">
        <f t="shared" si="21"/>
        <v>--</v>
      </c>
      <c r="BZ87" s="132" t="str">
        <f t="shared" si="22"/>
        <v>--</v>
      </c>
      <c r="CA87" s="132" t="str">
        <f t="shared" si="23"/>
        <v>--</v>
      </c>
      <c r="CB87" s="132" t="str">
        <f t="shared" si="24"/>
        <v>--</v>
      </c>
    </row>
    <row r="88" spans="2:80" x14ac:dyDescent="0.25">
      <c r="B88" s="77"/>
      <c r="C88" s="77"/>
      <c r="N88" s="141"/>
      <c r="O88" s="77"/>
      <c r="P88" s="144"/>
      <c r="Q88" s="141"/>
      <c r="S88" s="141"/>
      <c r="T88" s="77"/>
      <c r="V88" s="77"/>
      <c r="W88" s="141"/>
      <c r="AI88" s="77"/>
      <c r="AL88" s="77"/>
      <c r="AP88" s="77"/>
      <c r="AT88" s="77"/>
      <c r="AU88" s="77"/>
      <c r="AV88" s="77"/>
      <c r="AW88" s="77"/>
      <c r="AX88" s="77"/>
      <c r="AY88" s="77"/>
      <c r="BB88" s="77"/>
      <c r="BC88" s="77"/>
      <c r="BG88" s="166"/>
      <c r="BH88" s="166"/>
      <c r="BK88" s="166"/>
      <c r="BL88" s="166"/>
      <c r="BN88" s="166"/>
      <c r="BR88" s="137" t="str">
        <f t="shared" si="14"/>
        <v>--</v>
      </c>
      <c r="BS88" s="133" t="str">
        <f t="shared" si="15"/>
        <v>--</v>
      </c>
      <c r="BT88" s="132" t="str">
        <f t="shared" si="16"/>
        <v>--</v>
      </c>
      <c r="BU88" s="132" t="str">
        <f t="shared" si="17"/>
        <v>--</v>
      </c>
      <c r="BV88" s="132" t="str">
        <f t="shared" si="18"/>
        <v>--</v>
      </c>
      <c r="BW88" s="132" t="str">
        <f t="shared" si="19"/>
        <v>--</v>
      </c>
      <c r="BX88" s="132" t="str">
        <f t="shared" si="20"/>
        <v>--</v>
      </c>
      <c r="BY88" s="132" t="str">
        <f t="shared" si="21"/>
        <v>--</v>
      </c>
      <c r="BZ88" s="132" t="str">
        <f t="shared" si="22"/>
        <v>--</v>
      </c>
      <c r="CA88" s="132" t="str">
        <f t="shared" si="23"/>
        <v>--</v>
      </c>
      <c r="CB88" s="132" t="str">
        <f t="shared" si="24"/>
        <v>--</v>
      </c>
    </row>
    <row r="89" spans="2:80" x14ac:dyDescent="0.25">
      <c r="B89" s="77"/>
      <c r="C89" s="77"/>
      <c r="N89" s="141"/>
      <c r="O89" s="77"/>
      <c r="P89" s="144"/>
      <c r="Q89" s="141"/>
      <c r="S89" s="141"/>
      <c r="T89" s="77"/>
      <c r="V89" s="77"/>
      <c r="W89" s="141"/>
      <c r="AI89" s="77"/>
      <c r="AL89" s="77"/>
      <c r="AP89" s="77"/>
      <c r="AT89" s="77"/>
      <c r="AU89" s="77"/>
      <c r="AV89" s="77"/>
      <c r="AW89" s="77"/>
      <c r="AX89" s="77"/>
      <c r="AY89" s="77"/>
      <c r="BB89" s="77"/>
      <c r="BC89" s="77"/>
      <c r="BG89" s="166"/>
      <c r="BH89" s="166"/>
      <c r="BK89" s="166"/>
      <c r="BL89" s="166"/>
      <c r="BN89" s="166"/>
      <c r="BR89" s="137" t="str">
        <f t="shared" si="14"/>
        <v>--</v>
      </c>
      <c r="BS89" s="133" t="str">
        <f t="shared" si="15"/>
        <v>--</v>
      </c>
      <c r="BT89" s="132" t="str">
        <f t="shared" si="16"/>
        <v>--</v>
      </c>
      <c r="BU89" s="132" t="str">
        <f t="shared" si="17"/>
        <v>--</v>
      </c>
      <c r="BV89" s="132" t="str">
        <f t="shared" si="18"/>
        <v>--</v>
      </c>
      <c r="BW89" s="132" t="str">
        <f t="shared" si="19"/>
        <v>--</v>
      </c>
      <c r="BX89" s="132" t="str">
        <f t="shared" si="20"/>
        <v>--</v>
      </c>
      <c r="BY89" s="132" t="str">
        <f t="shared" si="21"/>
        <v>--</v>
      </c>
      <c r="BZ89" s="132" t="str">
        <f t="shared" si="22"/>
        <v>--</v>
      </c>
      <c r="CA89" s="132" t="str">
        <f t="shared" si="23"/>
        <v>--</v>
      </c>
      <c r="CB89" s="132" t="str">
        <f t="shared" si="24"/>
        <v>--</v>
      </c>
    </row>
    <row r="90" spans="2:80" x14ac:dyDescent="0.25">
      <c r="B90" s="77"/>
      <c r="C90" s="77"/>
      <c r="N90" s="141"/>
      <c r="O90" s="77"/>
      <c r="P90" s="144"/>
      <c r="Q90" s="141"/>
      <c r="S90" s="141"/>
      <c r="T90" s="77"/>
      <c r="V90" s="77"/>
      <c r="W90" s="141"/>
      <c r="AI90" s="77"/>
      <c r="AL90" s="77"/>
      <c r="AP90" s="77"/>
      <c r="AT90" s="77"/>
      <c r="AU90" s="77"/>
      <c r="AV90" s="77"/>
      <c r="AW90" s="77"/>
      <c r="AX90" s="77"/>
      <c r="AY90" s="77"/>
      <c r="BB90" s="77"/>
      <c r="BC90" s="77"/>
      <c r="BG90" s="166"/>
      <c r="BH90" s="166"/>
      <c r="BK90" s="166"/>
      <c r="BL90" s="166"/>
      <c r="BN90" s="166"/>
      <c r="BR90" s="137" t="str">
        <f t="shared" si="14"/>
        <v>--</v>
      </c>
      <c r="BS90" s="133" t="str">
        <f t="shared" si="15"/>
        <v>--</v>
      </c>
      <c r="BT90" s="132" t="str">
        <f t="shared" si="16"/>
        <v>--</v>
      </c>
      <c r="BU90" s="132" t="str">
        <f t="shared" si="17"/>
        <v>--</v>
      </c>
      <c r="BV90" s="132" t="str">
        <f t="shared" si="18"/>
        <v>--</v>
      </c>
      <c r="BW90" s="132" t="str">
        <f t="shared" si="19"/>
        <v>--</v>
      </c>
      <c r="BX90" s="132" t="str">
        <f t="shared" si="20"/>
        <v>--</v>
      </c>
      <c r="BY90" s="132" t="str">
        <f t="shared" si="21"/>
        <v>--</v>
      </c>
      <c r="BZ90" s="132" t="str">
        <f t="shared" si="22"/>
        <v>--</v>
      </c>
      <c r="CA90" s="132" t="str">
        <f t="shared" si="23"/>
        <v>--</v>
      </c>
      <c r="CB90" s="132" t="str">
        <f t="shared" si="24"/>
        <v>--</v>
      </c>
    </row>
    <row r="91" spans="2:80" x14ac:dyDescent="0.25">
      <c r="B91" s="77"/>
      <c r="C91" s="77"/>
      <c r="N91" s="141"/>
      <c r="O91" s="77"/>
      <c r="P91" s="144"/>
      <c r="Q91" s="141"/>
      <c r="S91" s="141"/>
      <c r="T91" s="77"/>
      <c r="V91" s="77"/>
      <c r="W91" s="141"/>
      <c r="AI91" s="77"/>
      <c r="AL91" s="77"/>
      <c r="AP91" s="77"/>
      <c r="AT91" s="77"/>
      <c r="AU91" s="77"/>
      <c r="AV91" s="77"/>
      <c r="AW91" s="77"/>
      <c r="AX91" s="77"/>
      <c r="AY91" s="77"/>
      <c r="BB91" s="77"/>
      <c r="BC91" s="77"/>
      <c r="BG91" s="166"/>
      <c r="BH91" s="166"/>
      <c r="BK91" s="166"/>
      <c r="BL91" s="166"/>
      <c r="BN91" s="166"/>
      <c r="BR91" s="137" t="str">
        <f t="shared" si="14"/>
        <v>--</v>
      </c>
      <c r="BS91" s="133" t="str">
        <f t="shared" si="15"/>
        <v>--</v>
      </c>
      <c r="BT91" s="132" t="str">
        <f t="shared" si="16"/>
        <v>--</v>
      </c>
      <c r="BU91" s="132" t="str">
        <f t="shared" si="17"/>
        <v>--</v>
      </c>
      <c r="BV91" s="132" t="str">
        <f t="shared" si="18"/>
        <v>--</v>
      </c>
      <c r="BW91" s="132" t="str">
        <f t="shared" si="19"/>
        <v>--</v>
      </c>
      <c r="BX91" s="132" t="str">
        <f t="shared" si="20"/>
        <v>--</v>
      </c>
      <c r="BY91" s="132" t="str">
        <f t="shared" si="21"/>
        <v>--</v>
      </c>
      <c r="BZ91" s="132" t="str">
        <f t="shared" si="22"/>
        <v>--</v>
      </c>
      <c r="CA91" s="132" t="str">
        <f t="shared" si="23"/>
        <v>--</v>
      </c>
      <c r="CB91" s="132" t="str">
        <f t="shared" si="24"/>
        <v>--</v>
      </c>
    </row>
    <row r="92" spans="2:80" x14ac:dyDescent="0.25">
      <c r="B92" s="77"/>
      <c r="C92" s="77"/>
      <c r="N92" s="141"/>
      <c r="O92" s="77"/>
      <c r="P92" s="144"/>
      <c r="Q92" s="141"/>
      <c r="S92" s="141"/>
      <c r="T92" s="77"/>
      <c r="V92" s="77"/>
      <c r="W92" s="141"/>
      <c r="AI92" s="77"/>
      <c r="AL92" s="77"/>
      <c r="AP92" s="77"/>
      <c r="AT92" s="77"/>
      <c r="AU92" s="77"/>
      <c r="AV92" s="77"/>
      <c r="AW92" s="77"/>
      <c r="AX92" s="77"/>
      <c r="AY92" s="77"/>
      <c r="BB92" s="77"/>
      <c r="BC92" s="77"/>
      <c r="BG92" s="166"/>
      <c r="BH92" s="166"/>
      <c r="BK92" s="166"/>
      <c r="BL92" s="166"/>
      <c r="BN92" s="166"/>
      <c r="BR92" s="137" t="str">
        <f t="shared" si="14"/>
        <v>--</v>
      </c>
      <c r="BS92" s="133" t="str">
        <f t="shared" si="15"/>
        <v>--</v>
      </c>
      <c r="BT92" s="132" t="str">
        <f t="shared" si="16"/>
        <v>--</v>
      </c>
      <c r="BU92" s="132" t="str">
        <f t="shared" si="17"/>
        <v>--</v>
      </c>
      <c r="BV92" s="132" t="str">
        <f t="shared" si="18"/>
        <v>--</v>
      </c>
      <c r="BW92" s="132" t="str">
        <f t="shared" si="19"/>
        <v>--</v>
      </c>
      <c r="BX92" s="132" t="str">
        <f t="shared" si="20"/>
        <v>--</v>
      </c>
      <c r="BY92" s="132" t="str">
        <f t="shared" si="21"/>
        <v>--</v>
      </c>
      <c r="BZ92" s="132" t="str">
        <f t="shared" si="22"/>
        <v>--</v>
      </c>
      <c r="CA92" s="132" t="str">
        <f t="shared" si="23"/>
        <v>--</v>
      </c>
      <c r="CB92" s="132" t="str">
        <f t="shared" si="24"/>
        <v>--</v>
      </c>
    </row>
    <row r="93" spans="2:80" x14ac:dyDescent="0.25">
      <c r="B93" s="77"/>
      <c r="C93" s="77"/>
      <c r="N93" s="141"/>
      <c r="O93" s="77"/>
      <c r="P93" s="144"/>
      <c r="Q93" s="141"/>
      <c r="S93" s="141"/>
      <c r="T93" s="77"/>
      <c r="V93" s="77"/>
      <c r="W93" s="141"/>
      <c r="AI93" s="77"/>
      <c r="AL93" s="77"/>
      <c r="AP93" s="77"/>
      <c r="AT93" s="77"/>
      <c r="AU93" s="77"/>
      <c r="AV93" s="77"/>
      <c r="AW93" s="77"/>
      <c r="AX93" s="77"/>
      <c r="AY93" s="77"/>
      <c r="BB93" s="77"/>
      <c r="BC93" s="77"/>
      <c r="BG93" s="166"/>
      <c r="BH93" s="166"/>
      <c r="BK93" s="166"/>
      <c r="BL93" s="166"/>
      <c r="BN93" s="166"/>
      <c r="BR93" s="137" t="str">
        <f t="shared" si="14"/>
        <v>--</v>
      </c>
      <c r="BS93" s="133" t="str">
        <f t="shared" si="15"/>
        <v>--</v>
      </c>
      <c r="BT93" s="132" t="str">
        <f t="shared" si="16"/>
        <v>--</v>
      </c>
      <c r="BU93" s="132" t="str">
        <f t="shared" si="17"/>
        <v>--</v>
      </c>
      <c r="BV93" s="132" t="str">
        <f t="shared" si="18"/>
        <v>--</v>
      </c>
      <c r="BW93" s="132" t="str">
        <f t="shared" si="19"/>
        <v>--</v>
      </c>
      <c r="BX93" s="132" t="str">
        <f t="shared" si="20"/>
        <v>--</v>
      </c>
      <c r="BY93" s="132" t="str">
        <f t="shared" si="21"/>
        <v>--</v>
      </c>
      <c r="BZ93" s="132" t="str">
        <f t="shared" si="22"/>
        <v>--</v>
      </c>
      <c r="CA93" s="132" t="str">
        <f t="shared" si="23"/>
        <v>--</v>
      </c>
      <c r="CB93" s="132" t="str">
        <f t="shared" si="24"/>
        <v>--</v>
      </c>
    </row>
    <row r="94" spans="2:80" x14ac:dyDescent="0.25">
      <c r="B94" s="77"/>
      <c r="C94" s="77"/>
      <c r="N94" s="141"/>
      <c r="O94" s="77"/>
      <c r="P94" s="144"/>
      <c r="Q94" s="141"/>
      <c r="S94" s="141"/>
      <c r="T94" s="77"/>
      <c r="V94" s="77"/>
      <c r="W94" s="141"/>
      <c r="AI94" s="77"/>
      <c r="AL94" s="77"/>
      <c r="AP94" s="77"/>
      <c r="AT94" s="77"/>
      <c r="AU94" s="77"/>
      <c r="AV94" s="77"/>
      <c r="AW94" s="77"/>
      <c r="AX94" s="77"/>
      <c r="AY94" s="77"/>
      <c r="BB94" s="77"/>
      <c r="BC94" s="77"/>
      <c r="BG94" s="166"/>
      <c r="BH94" s="166"/>
      <c r="BK94" s="166"/>
      <c r="BL94" s="166"/>
      <c r="BN94" s="166"/>
      <c r="BR94" s="137" t="str">
        <f t="shared" si="14"/>
        <v>--</v>
      </c>
      <c r="BS94" s="133" t="str">
        <f t="shared" si="15"/>
        <v>--</v>
      </c>
      <c r="BT94" s="132" t="str">
        <f t="shared" si="16"/>
        <v>--</v>
      </c>
      <c r="BU94" s="132" t="str">
        <f t="shared" si="17"/>
        <v>--</v>
      </c>
      <c r="BV94" s="132" t="str">
        <f t="shared" si="18"/>
        <v>--</v>
      </c>
      <c r="BW94" s="132" t="str">
        <f t="shared" si="19"/>
        <v>--</v>
      </c>
      <c r="BX94" s="132" t="str">
        <f t="shared" si="20"/>
        <v>--</v>
      </c>
      <c r="BY94" s="132" t="str">
        <f t="shared" si="21"/>
        <v>--</v>
      </c>
      <c r="BZ94" s="132" t="str">
        <f t="shared" si="22"/>
        <v>--</v>
      </c>
      <c r="CA94" s="132" t="str">
        <f t="shared" si="23"/>
        <v>--</v>
      </c>
      <c r="CB94" s="132" t="str">
        <f t="shared" si="24"/>
        <v>--</v>
      </c>
    </row>
    <row r="95" spans="2:80" x14ac:dyDescent="0.25">
      <c r="B95" s="77"/>
      <c r="C95" s="77"/>
      <c r="N95" s="141"/>
      <c r="O95" s="77"/>
      <c r="P95" s="144"/>
      <c r="Q95" s="141"/>
      <c r="S95" s="141"/>
      <c r="T95" s="77"/>
      <c r="V95" s="77"/>
      <c r="W95" s="141"/>
      <c r="AI95" s="77"/>
      <c r="AL95" s="77"/>
      <c r="AP95" s="77"/>
      <c r="AT95" s="77"/>
      <c r="AU95" s="77"/>
      <c r="AV95" s="77"/>
      <c r="AW95" s="77"/>
      <c r="AX95" s="77"/>
      <c r="AY95" s="77"/>
      <c r="BB95" s="77"/>
      <c r="BC95" s="77"/>
      <c r="BG95" s="166"/>
      <c r="BH95" s="166"/>
      <c r="BK95" s="166"/>
      <c r="BL95" s="166"/>
      <c r="BN95" s="166"/>
      <c r="BR95" s="137" t="str">
        <f t="shared" si="14"/>
        <v>--</v>
      </c>
      <c r="BS95" s="133" t="str">
        <f t="shared" si="15"/>
        <v>--</v>
      </c>
      <c r="BT95" s="132" t="str">
        <f t="shared" si="16"/>
        <v>--</v>
      </c>
      <c r="BU95" s="132" t="str">
        <f t="shared" si="17"/>
        <v>--</v>
      </c>
      <c r="BV95" s="132" t="str">
        <f t="shared" si="18"/>
        <v>--</v>
      </c>
      <c r="BW95" s="132" t="str">
        <f t="shared" si="19"/>
        <v>--</v>
      </c>
      <c r="BX95" s="132" t="str">
        <f t="shared" si="20"/>
        <v>--</v>
      </c>
      <c r="BY95" s="132" t="str">
        <f t="shared" si="21"/>
        <v>--</v>
      </c>
      <c r="BZ95" s="132" t="str">
        <f t="shared" si="22"/>
        <v>--</v>
      </c>
      <c r="CA95" s="132" t="str">
        <f t="shared" si="23"/>
        <v>--</v>
      </c>
      <c r="CB95" s="132" t="str">
        <f t="shared" si="24"/>
        <v>--</v>
      </c>
    </row>
    <row r="96" spans="2:80" x14ac:dyDescent="0.25">
      <c r="B96" s="77"/>
      <c r="C96" s="77"/>
      <c r="N96" s="141"/>
      <c r="O96" s="77"/>
      <c r="P96" s="144"/>
      <c r="Q96" s="141"/>
      <c r="S96" s="141"/>
      <c r="T96" s="77"/>
      <c r="V96" s="77"/>
      <c r="W96" s="141"/>
      <c r="AI96" s="77"/>
      <c r="AL96" s="77"/>
      <c r="AP96" s="77"/>
      <c r="AT96" s="77"/>
      <c r="AU96" s="77"/>
      <c r="AV96" s="77"/>
      <c r="AW96" s="77"/>
      <c r="AX96" s="77"/>
      <c r="AY96" s="77"/>
      <c r="BB96" s="77"/>
      <c r="BC96" s="77"/>
      <c r="BG96" s="166"/>
      <c r="BH96" s="166"/>
      <c r="BK96" s="166"/>
      <c r="BL96" s="166"/>
      <c r="BN96" s="166"/>
      <c r="BR96" s="137" t="str">
        <f t="shared" si="14"/>
        <v>--</v>
      </c>
      <c r="BS96" s="133" t="str">
        <f t="shared" si="15"/>
        <v>--</v>
      </c>
      <c r="BT96" s="132" t="str">
        <f t="shared" si="16"/>
        <v>--</v>
      </c>
      <c r="BU96" s="132" t="str">
        <f t="shared" si="17"/>
        <v>--</v>
      </c>
      <c r="BV96" s="132" t="str">
        <f t="shared" si="18"/>
        <v>--</v>
      </c>
      <c r="BW96" s="132" t="str">
        <f t="shared" si="19"/>
        <v>--</v>
      </c>
      <c r="BX96" s="132" t="str">
        <f t="shared" si="20"/>
        <v>--</v>
      </c>
      <c r="BY96" s="132" t="str">
        <f t="shared" si="21"/>
        <v>--</v>
      </c>
      <c r="BZ96" s="132" t="str">
        <f t="shared" si="22"/>
        <v>--</v>
      </c>
      <c r="CA96" s="132" t="str">
        <f t="shared" si="23"/>
        <v>--</v>
      </c>
      <c r="CB96" s="132" t="str">
        <f t="shared" si="24"/>
        <v>--</v>
      </c>
    </row>
    <row r="97" spans="2:80" x14ac:dyDescent="0.25">
      <c r="B97" s="77"/>
      <c r="C97" s="77"/>
      <c r="N97" s="141"/>
      <c r="O97" s="77"/>
      <c r="P97" s="144"/>
      <c r="Q97" s="141"/>
      <c r="S97" s="141"/>
      <c r="T97" s="77"/>
      <c r="V97" s="77"/>
      <c r="W97" s="141"/>
      <c r="AI97" s="77"/>
      <c r="AL97" s="77"/>
      <c r="AP97" s="77"/>
      <c r="AT97" s="77"/>
      <c r="AU97" s="77"/>
      <c r="AV97" s="77"/>
      <c r="AW97" s="77"/>
      <c r="AX97" s="77"/>
      <c r="AY97" s="77"/>
      <c r="BB97" s="77"/>
      <c r="BC97" s="77"/>
      <c r="BG97" s="166"/>
      <c r="BH97" s="166"/>
      <c r="BK97" s="166"/>
      <c r="BL97" s="166"/>
      <c r="BN97" s="166"/>
      <c r="BR97" s="137" t="str">
        <f t="shared" si="14"/>
        <v>--</v>
      </c>
      <c r="BS97" s="133" t="str">
        <f t="shared" si="15"/>
        <v>--</v>
      </c>
      <c r="BT97" s="132" t="str">
        <f t="shared" si="16"/>
        <v>--</v>
      </c>
      <c r="BU97" s="132" t="str">
        <f t="shared" si="17"/>
        <v>--</v>
      </c>
      <c r="BV97" s="132" t="str">
        <f t="shared" si="18"/>
        <v>--</v>
      </c>
      <c r="BW97" s="132" t="str">
        <f t="shared" si="19"/>
        <v>--</v>
      </c>
      <c r="BX97" s="132" t="str">
        <f t="shared" si="20"/>
        <v>--</v>
      </c>
      <c r="BY97" s="132" t="str">
        <f t="shared" si="21"/>
        <v>--</v>
      </c>
      <c r="BZ97" s="132" t="str">
        <f t="shared" si="22"/>
        <v>--</v>
      </c>
      <c r="CA97" s="132" t="str">
        <f t="shared" si="23"/>
        <v>--</v>
      </c>
      <c r="CB97" s="132" t="str">
        <f t="shared" si="24"/>
        <v>--</v>
      </c>
    </row>
    <row r="98" spans="2:80" x14ac:dyDescent="0.25">
      <c r="B98" s="77"/>
      <c r="C98" s="77"/>
      <c r="N98" s="141"/>
      <c r="O98" s="77"/>
      <c r="P98" s="144"/>
      <c r="Q98" s="141"/>
      <c r="S98" s="141"/>
      <c r="T98" s="77"/>
      <c r="V98" s="77"/>
      <c r="W98" s="141"/>
      <c r="AI98" s="77"/>
      <c r="AL98" s="77"/>
      <c r="AP98" s="77"/>
      <c r="AT98" s="77"/>
      <c r="AU98" s="77"/>
      <c r="AV98" s="77"/>
      <c r="AW98" s="77"/>
      <c r="AX98" s="77"/>
      <c r="AY98" s="77"/>
      <c r="BB98" s="77"/>
      <c r="BC98" s="77"/>
      <c r="BG98" s="166"/>
      <c r="BH98" s="166"/>
      <c r="BK98" s="166"/>
      <c r="BL98" s="166"/>
      <c r="BN98" s="166"/>
      <c r="BR98" s="137" t="str">
        <f t="shared" si="14"/>
        <v>--</v>
      </c>
      <c r="BS98" s="133" t="str">
        <f t="shared" si="15"/>
        <v>--</v>
      </c>
      <c r="BT98" s="132" t="str">
        <f t="shared" si="16"/>
        <v>--</v>
      </c>
      <c r="BU98" s="132" t="str">
        <f t="shared" si="17"/>
        <v>--</v>
      </c>
      <c r="BV98" s="132" t="str">
        <f t="shared" si="18"/>
        <v>--</v>
      </c>
      <c r="BW98" s="132" t="str">
        <f t="shared" si="19"/>
        <v>--</v>
      </c>
      <c r="BX98" s="132" t="str">
        <f t="shared" si="20"/>
        <v>--</v>
      </c>
      <c r="BY98" s="132" t="str">
        <f t="shared" si="21"/>
        <v>--</v>
      </c>
      <c r="BZ98" s="132" t="str">
        <f t="shared" si="22"/>
        <v>--</v>
      </c>
      <c r="CA98" s="132" t="str">
        <f t="shared" si="23"/>
        <v>--</v>
      </c>
      <c r="CB98" s="132" t="str">
        <f t="shared" si="24"/>
        <v>--</v>
      </c>
    </row>
    <row r="99" spans="2:80" x14ac:dyDescent="0.25">
      <c r="B99" s="77"/>
      <c r="C99" s="77"/>
      <c r="N99" s="141"/>
      <c r="O99" s="77"/>
      <c r="P99" s="144"/>
      <c r="Q99" s="141"/>
      <c r="S99" s="141"/>
      <c r="T99" s="77"/>
      <c r="V99" s="77"/>
      <c r="W99" s="141"/>
      <c r="AI99" s="77"/>
      <c r="AL99" s="77"/>
      <c r="AP99" s="77"/>
      <c r="AT99" s="77"/>
      <c r="AU99" s="77"/>
      <c r="AV99" s="77"/>
      <c r="AW99" s="77"/>
      <c r="AX99" s="77"/>
      <c r="AY99" s="77"/>
      <c r="BB99" s="77"/>
      <c r="BC99" s="77"/>
      <c r="BG99" s="166"/>
      <c r="BH99" s="166"/>
      <c r="BK99" s="166"/>
      <c r="BL99" s="166"/>
      <c r="BN99" s="166"/>
      <c r="BR99" s="137" t="str">
        <f t="shared" si="14"/>
        <v>--</v>
      </c>
      <c r="BS99" s="133" t="str">
        <f t="shared" si="15"/>
        <v>--</v>
      </c>
      <c r="BT99" s="132" t="str">
        <f t="shared" si="16"/>
        <v>--</v>
      </c>
      <c r="BU99" s="132" t="str">
        <f t="shared" si="17"/>
        <v>--</v>
      </c>
      <c r="BV99" s="132" t="str">
        <f t="shared" si="18"/>
        <v>--</v>
      </c>
      <c r="BW99" s="132" t="str">
        <f t="shared" si="19"/>
        <v>--</v>
      </c>
      <c r="BX99" s="132" t="str">
        <f t="shared" si="20"/>
        <v>--</v>
      </c>
      <c r="BY99" s="132" t="str">
        <f t="shared" si="21"/>
        <v>--</v>
      </c>
      <c r="BZ99" s="132" t="str">
        <f t="shared" si="22"/>
        <v>--</v>
      </c>
      <c r="CA99" s="132" t="str">
        <f t="shared" si="23"/>
        <v>--</v>
      </c>
      <c r="CB99" s="132" t="str">
        <f t="shared" si="24"/>
        <v>--</v>
      </c>
    </row>
    <row r="100" spans="2:80" x14ac:dyDescent="0.25">
      <c r="B100" s="77"/>
      <c r="C100" s="77"/>
      <c r="N100" s="141"/>
      <c r="O100" s="77"/>
      <c r="P100" s="144"/>
      <c r="Q100" s="141"/>
      <c r="S100" s="141"/>
      <c r="T100" s="77"/>
      <c r="V100" s="77"/>
      <c r="W100" s="141"/>
      <c r="AI100" s="77"/>
      <c r="AL100" s="77"/>
      <c r="AP100" s="77"/>
      <c r="AT100" s="77"/>
      <c r="AU100" s="77"/>
      <c r="AV100" s="77"/>
      <c r="AW100" s="77"/>
      <c r="AX100" s="77"/>
      <c r="AY100" s="77"/>
      <c r="BB100" s="77"/>
      <c r="BC100" s="77"/>
      <c r="BG100" s="166"/>
      <c r="BH100" s="166"/>
      <c r="BK100" s="166"/>
      <c r="BL100" s="166"/>
      <c r="BN100" s="166"/>
      <c r="BR100" s="137" t="str">
        <f t="shared" si="14"/>
        <v>--</v>
      </c>
      <c r="BS100" s="133" t="str">
        <f t="shared" si="15"/>
        <v>--</v>
      </c>
      <c r="BT100" s="132" t="str">
        <f t="shared" si="16"/>
        <v>--</v>
      </c>
      <c r="BU100" s="132" t="str">
        <f t="shared" si="17"/>
        <v>--</v>
      </c>
      <c r="BV100" s="132" t="str">
        <f t="shared" si="18"/>
        <v>--</v>
      </c>
      <c r="BW100" s="132" t="str">
        <f t="shared" si="19"/>
        <v>--</v>
      </c>
      <c r="BX100" s="132" t="str">
        <f t="shared" si="20"/>
        <v>--</v>
      </c>
      <c r="BY100" s="132" t="str">
        <f t="shared" si="21"/>
        <v>--</v>
      </c>
      <c r="BZ100" s="132" t="str">
        <f t="shared" si="22"/>
        <v>--</v>
      </c>
      <c r="CA100" s="132" t="str">
        <f t="shared" si="23"/>
        <v>--</v>
      </c>
      <c r="CB100" s="132" t="str">
        <f t="shared" si="24"/>
        <v>--</v>
      </c>
    </row>
  </sheetData>
  <sheetProtection selectLockedCells="1"/>
  <autoFilter ref="B6:CB6"/>
  <mergeCells count="15">
    <mergeCell ref="BF1:BO1"/>
    <mergeCell ref="BC4:BD4"/>
    <mergeCell ref="E3:G3"/>
    <mergeCell ref="E2:G2"/>
    <mergeCell ref="E1:G1"/>
    <mergeCell ref="AP1:AX1"/>
    <mergeCell ref="AP2:AX2"/>
    <mergeCell ref="AP3:AX3"/>
    <mergeCell ref="N3:R3"/>
    <mergeCell ref="AA3:AE3"/>
    <mergeCell ref="AI2:AL2"/>
    <mergeCell ref="AZ2:BA2"/>
    <mergeCell ref="AA2:AE2"/>
    <mergeCell ref="AN3:AO3"/>
    <mergeCell ref="AF2:AH2"/>
  </mergeCells>
  <conditionalFormatting sqref="N7:R100">
    <cfRule type="expression" dxfId="49" priority="40">
      <formula>$O7="Pending"</formula>
    </cfRule>
    <cfRule type="expression" dxfId="48" priority="44">
      <formula>$O7="Model"</formula>
    </cfRule>
    <cfRule type="expression" dxfId="47" priority="50">
      <formula>$O7 = "Tested"</formula>
    </cfRule>
  </conditionalFormatting>
  <conditionalFormatting sqref="S7:X100">
    <cfRule type="expression" dxfId="46" priority="39">
      <formula>$T7="Pending"</formula>
    </cfRule>
    <cfRule type="expression" dxfId="45" priority="43">
      <formula>$T7="Model"</formula>
    </cfRule>
    <cfRule type="expression" dxfId="44" priority="49">
      <formula>$T7="Tested"</formula>
    </cfRule>
  </conditionalFormatting>
  <conditionalFormatting sqref="B7:M100">
    <cfRule type="expression" dxfId="43" priority="51">
      <formula>$M7="tested"</formula>
    </cfRule>
    <cfRule type="expression" dxfId="42" priority="52">
      <formula>$M7="Model"</formula>
    </cfRule>
  </conditionalFormatting>
  <conditionalFormatting sqref="P7:Q100">
    <cfRule type="expression" dxfId="41" priority="46">
      <formula>$Q7="????"</formula>
    </cfRule>
  </conditionalFormatting>
  <conditionalFormatting sqref="F7:F100">
    <cfRule type="expression" dxfId="40" priority="38">
      <formula>$BB7&lt;&gt;""</formula>
    </cfRule>
    <cfRule type="expression" dxfId="39" priority="41">
      <formula>$B7&lt;&gt;""</formula>
    </cfRule>
  </conditionalFormatting>
  <conditionalFormatting sqref="Y7:BD100">
    <cfRule type="expression" dxfId="38" priority="35">
      <formula>$M7="Tested"</formula>
    </cfRule>
    <cfRule type="expression" dxfId="37" priority="42">
      <formula>$M7="Model"</formula>
    </cfRule>
  </conditionalFormatting>
  <conditionalFormatting sqref="Q7:Q100">
    <cfRule type="expression" dxfId="36" priority="26">
      <formula>$T7="Pending"</formula>
    </cfRule>
    <cfRule type="expression" dxfId="35" priority="27">
      <formula>$T7="Model"</formula>
    </cfRule>
    <cfRule type="expression" dxfId="34" priority="28">
      <formula>$T7="Tested"</formula>
    </cfRule>
  </conditionalFormatting>
  <conditionalFormatting sqref="Q7:Q100">
    <cfRule type="expression" dxfId="33" priority="23">
      <formula>$O7="Pending"</formula>
    </cfRule>
    <cfRule type="expression" dxfId="32" priority="24">
      <formula>$O7="Model"</formula>
    </cfRule>
    <cfRule type="expression" dxfId="31" priority="25">
      <formula>$O7 = "Tested"</formula>
    </cfRule>
  </conditionalFormatting>
  <conditionalFormatting sqref="Q7:Q100">
    <cfRule type="expression" dxfId="30" priority="20">
      <formula>$O7="Pending"</formula>
    </cfRule>
    <cfRule type="expression" dxfId="29" priority="21">
      <formula>$O7="Model"</formula>
    </cfRule>
    <cfRule type="expression" dxfId="28" priority="22">
      <formula>$O7 = "Tested"</formula>
    </cfRule>
  </conditionalFormatting>
  <dataValidations count="9">
    <dataValidation type="list" allowBlank="1" showInputMessage="1" showErrorMessage="1" sqref="AI7:AM100 BF7:BF100 AP7:BA100">
      <formula1>"X"</formula1>
    </dataValidation>
    <dataValidation type="list" allowBlank="1" showInputMessage="1" showErrorMessage="1" sqref="L7:L100">
      <formula1>"0, 1, 2, 3, 4, 5, 6, 7, 8, 9, 10, 11, 12, 13, 14,15, 16, 17, 18, 19, 20, 21, 22, 23, 24, 25, 26, 27, 28, 29, 30, 31, 32, 33, 34, 35, 36, 37,38, 39, 40"</formula1>
    </dataValidation>
    <dataValidation type="list" allowBlank="1" showInputMessage="1" showErrorMessage="1" sqref="M7:M34">
      <formula1>"Model, Tested, Sampled"</formula1>
    </dataValidation>
    <dataValidation type="list" allowBlank="1" showInputMessage="1" showErrorMessage="1" sqref="O7:O100 T7:T100">
      <formula1>"Pending, Model, Tested, Sampled"</formula1>
    </dataValidation>
    <dataValidation type="list" allowBlank="1" showInputMessage="1" showErrorMessage="1" sqref="B7:B100">
      <formula1>"Frame, Final, Solar"</formula1>
    </dataValidation>
    <dataValidation type="list" allowBlank="1" showInputMessage="1" showErrorMessage="1" sqref="BB7:BB100">
      <formula1>"Insulation, HVAC, Both, Plumbing, All, Rater, Builder"</formula1>
    </dataValidation>
    <dataValidation type="list" allowBlank="1" showInputMessage="1" showErrorMessage="1" sqref="C7:C100">
      <formula1>"Rough, Final"</formula1>
    </dataValidation>
    <dataValidation type="list" allowBlank="1" showInputMessage="1" showErrorMessage="1" sqref="C3">
      <formula1>"2008, 2013v1"</formula1>
    </dataValidation>
    <dataValidation type="list" allowBlank="1" showInputMessage="1" showErrorMessage="1" sqref="C2">
      <formula1>"CalCERTS, CHEERS"</formula1>
    </dataValidation>
  </dataValidations>
  <pageMargins left="0.7" right="0.7" top="0.75" bottom="0.75" header="0.3" footer="0.3"/>
  <pageSetup scale="86" pageOrder="overThenDown" orientation="landscape" horizontalDpi="1200" verticalDpi="1200" r:id="rId1"/>
  <colBreaks count="5" manualBreakCount="5">
    <brk id="13" max="1048575" man="1"/>
    <brk id="26" max="1048575" man="1"/>
    <brk id="41" max="1048575" man="1"/>
    <brk id="56" max="1048575" man="1"/>
    <brk id="67" max="1048575" man="1"/>
  </colBreaks>
  <drawing r:id="rId2"/>
  <legacyDrawing r:id="rId3"/>
  <controls>
    <mc:AlternateContent xmlns:mc="http://schemas.openxmlformats.org/markup-compatibility/2006">
      <mc:Choice Requires="x14">
        <control shapeId="1084" r:id="rId4" name="cbxDHW">
          <controlPr defaultSize="0" autoLine="0" r:id="rId5">
            <anchor moveWithCells="1">
              <from>
                <xdr:col>9</xdr:col>
                <xdr:colOff>495300</xdr:colOff>
                <xdr:row>2</xdr:row>
                <xdr:rowOff>171450</xdr:rowOff>
              </from>
              <to>
                <xdr:col>10</xdr:col>
                <xdr:colOff>200025</xdr:colOff>
                <xdr:row>4</xdr:row>
                <xdr:rowOff>19050</xdr:rowOff>
              </to>
            </anchor>
          </controlPr>
        </control>
      </mc:Choice>
      <mc:Fallback>
        <control shapeId="1084" r:id="rId4" name="cbxDHW"/>
      </mc:Fallback>
    </mc:AlternateContent>
    <mc:AlternateContent xmlns:mc="http://schemas.openxmlformats.org/markup-compatibility/2006">
      <mc:Choice Requires="x14">
        <control shapeId="1083" r:id="rId6" name="cbxBurDD">
          <controlPr defaultSize="0" autoLine="0" r:id="rId7">
            <anchor moveWithCells="1">
              <from>
                <xdr:col>11</xdr:col>
                <xdr:colOff>171450</xdr:colOff>
                <xdr:row>1</xdr:row>
                <xdr:rowOff>123825</xdr:rowOff>
              </from>
              <to>
                <xdr:col>12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83" r:id="rId6" name="cbxBurDD"/>
      </mc:Fallback>
    </mc:AlternateContent>
    <mc:AlternateContent xmlns:mc="http://schemas.openxmlformats.org/markup-compatibility/2006">
      <mc:Choice Requires="x14">
        <control shapeId="1082" r:id="rId8" name="cbxDeepDD">
          <controlPr defaultSize="0" autoLine="0" r:id="rId9">
            <anchor moveWithCells="1">
              <from>
                <xdr:col>11</xdr:col>
                <xdr:colOff>171450</xdr:colOff>
                <xdr:row>2</xdr:row>
                <xdr:rowOff>171450</xdr:rowOff>
              </from>
              <to>
                <xdr:col>12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82" r:id="rId8" name="cbxDeepDD"/>
      </mc:Fallback>
    </mc:AlternateContent>
    <mc:AlternateContent xmlns:mc="http://schemas.openxmlformats.org/markup-compatibility/2006">
      <mc:Choice Requires="x14">
        <control shapeId="1081" r:id="rId10" name="cbxVerDD">
          <controlPr defaultSize="0" autoLine="0" r:id="rId11">
            <anchor moveWithCells="1">
              <from>
                <xdr:col>11</xdr:col>
                <xdr:colOff>171450</xdr:colOff>
                <xdr:row>0</xdr:row>
                <xdr:rowOff>76200</xdr:rowOff>
              </from>
              <to>
                <xdr:col>12</xdr:col>
                <xdr:colOff>333375</xdr:colOff>
                <xdr:row>1</xdr:row>
                <xdr:rowOff>114300</xdr:rowOff>
              </to>
            </anchor>
          </controlPr>
        </control>
      </mc:Choice>
      <mc:Fallback>
        <control shapeId="1081" r:id="rId10" name="cbxVerDD"/>
      </mc:Fallback>
    </mc:AlternateContent>
    <mc:AlternateContent xmlns:mc="http://schemas.openxmlformats.org/markup-compatibility/2006">
      <mc:Choice Requires="x14">
        <control shapeId="1079" r:id="rId12" name="cbxLEED">
          <controlPr defaultSize="0" autoLine="0" r:id="rId13">
            <anchor moveWithCells="1">
              <from>
                <xdr:col>8</xdr:col>
                <xdr:colOff>161925</xdr:colOff>
                <xdr:row>2</xdr:row>
                <xdr:rowOff>38100</xdr:rowOff>
              </from>
              <to>
                <xdr:col>9</xdr:col>
                <xdr:colOff>304800</xdr:colOff>
                <xdr:row>3</xdr:row>
                <xdr:rowOff>76200</xdr:rowOff>
              </to>
            </anchor>
          </controlPr>
        </control>
      </mc:Choice>
      <mc:Fallback>
        <control shapeId="1079" r:id="rId12" name="cbxLEED"/>
      </mc:Fallback>
    </mc:AlternateContent>
    <mc:AlternateContent xmlns:mc="http://schemas.openxmlformats.org/markup-compatibility/2006">
      <mc:Choice Requires="x14">
        <control shapeId="1075" r:id="rId14" name="cbxLLAH">
          <controlPr defaultSize="0" autoLine="0" r:id="rId15">
            <anchor moveWithCells="1">
              <from>
                <xdr:col>10</xdr:col>
                <xdr:colOff>209550</xdr:colOff>
                <xdr:row>1</xdr:row>
                <xdr:rowOff>123825</xdr:rowOff>
              </from>
              <to>
                <xdr:col>11</xdr:col>
                <xdr:colOff>161925</xdr:colOff>
                <xdr:row>2</xdr:row>
                <xdr:rowOff>161925</xdr:rowOff>
              </to>
            </anchor>
          </controlPr>
        </control>
      </mc:Choice>
      <mc:Fallback>
        <control shapeId="1075" r:id="rId14" name="cbxLLAH"/>
      </mc:Fallback>
    </mc:AlternateContent>
    <mc:AlternateContent xmlns:mc="http://schemas.openxmlformats.org/markup-compatibility/2006">
      <mc:Choice Requires="x14">
        <control shapeId="1063" r:id="rId16" name="CmdGetCF2R">
          <controlPr locked="0" defaultSize="0" autoLine="0" altText="Request Billing" r:id="rId17">
            <anchor moveWithCells="1">
              <from>
                <xdr:col>53</xdr:col>
                <xdr:colOff>66675</xdr:colOff>
                <xdr:row>0</xdr:row>
                <xdr:rowOff>66675</xdr:rowOff>
              </from>
              <to>
                <xdr:col>53</xdr:col>
                <xdr:colOff>704850</xdr:colOff>
                <xdr:row>2</xdr:row>
                <xdr:rowOff>171450</xdr:rowOff>
              </to>
            </anchor>
          </controlPr>
        </control>
      </mc:Choice>
      <mc:Fallback>
        <control shapeId="1063" r:id="rId16" name="CmdGetCF2R"/>
      </mc:Fallback>
    </mc:AlternateContent>
    <mc:AlternateContent xmlns:mc="http://schemas.openxmlformats.org/markup-compatibility/2006">
      <mc:Choice Requires="x14">
        <control shapeId="1048" r:id="rId18" name="cbxCAHP">
          <controlPr defaultSize="0" autoLine="0" r:id="rId19">
            <anchor moveWithCells="1">
              <from>
                <xdr:col>8</xdr:col>
                <xdr:colOff>161925</xdr:colOff>
                <xdr:row>1</xdr:row>
                <xdr:rowOff>9525</xdr:rowOff>
              </from>
              <to>
                <xdr:col>9</xdr:col>
                <xdr:colOff>304800</xdr:colOff>
                <xdr:row>2</xdr:row>
                <xdr:rowOff>47625</xdr:rowOff>
              </to>
            </anchor>
          </controlPr>
        </control>
      </mc:Choice>
      <mc:Fallback>
        <control shapeId="1048" r:id="rId18" name="cbxCAHP"/>
      </mc:Fallback>
    </mc:AlternateContent>
    <mc:AlternateContent xmlns:mc="http://schemas.openxmlformats.org/markup-compatibility/2006">
      <mc:Choice Requires="x14">
        <control shapeId="1047" r:id="rId20" name="cbxBIG">
          <controlPr defaultSize="0" autoLine="0" r:id="rId21">
            <anchor moveWithCells="1">
              <from>
                <xdr:col>7</xdr:col>
                <xdr:colOff>38100</xdr:colOff>
                <xdr:row>2</xdr:row>
                <xdr:rowOff>38100</xdr:rowOff>
              </from>
              <to>
                <xdr:col>8</xdr:col>
                <xdr:colOff>161925</xdr:colOff>
                <xdr:row>3</xdr:row>
                <xdr:rowOff>76200</xdr:rowOff>
              </to>
            </anchor>
          </controlPr>
        </control>
      </mc:Choice>
      <mc:Fallback>
        <control shapeId="1047" r:id="rId20" name="cbxBIG"/>
      </mc:Fallback>
    </mc:AlternateContent>
    <mc:AlternateContent xmlns:mc="http://schemas.openxmlformats.org/markup-compatibility/2006">
      <mc:Choice Requires="x14">
        <control shapeId="1045" r:id="rId22" name="cbxES">
          <controlPr defaultSize="0" autoLine="0" r:id="rId23">
            <anchor moveWithCells="1">
              <from>
                <xdr:col>7</xdr:col>
                <xdr:colOff>38100</xdr:colOff>
                <xdr:row>1</xdr:row>
                <xdr:rowOff>9525</xdr:rowOff>
              </from>
              <to>
                <xdr:col>8</xdr:col>
                <xdr:colOff>161925</xdr:colOff>
                <xdr:row>2</xdr:row>
                <xdr:rowOff>47625</xdr:rowOff>
              </to>
            </anchor>
          </controlPr>
        </control>
      </mc:Choice>
      <mc:Fallback>
        <control shapeId="1045" r:id="rId22" name="cbxES"/>
      </mc:Fallback>
    </mc:AlternateContent>
    <mc:AlternateContent xmlns:mc="http://schemas.openxmlformats.org/markup-compatibility/2006">
      <mc:Choice Requires="x14">
        <control shapeId="1027" r:id="rId24" name="cmdRequestBilling">
          <controlPr locked="0" defaultSize="0" autoFill="0" autoLine="0" altText="Request Billing" r:id="rId25">
            <anchor moveWithCells="1">
              <from>
                <xdr:col>1</xdr:col>
                <xdr:colOff>19050</xdr:colOff>
                <xdr:row>3</xdr:row>
                <xdr:rowOff>114300</xdr:rowOff>
              </from>
              <to>
                <xdr:col>1</xdr:col>
                <xdr:colOff>647700</xdr:colOff>
                <xdr:row>4</xdr:row>
                <xdr:rowOff>171450</xdr:rowOff>
              </to>
            </anchor>
          </controlPr>
        </control>
      </mc:Choice>
      <mc:Fallback>
        <control shapeId="1027" r:id="rId24" name="cmdRequestBilling"/>
      </mc:Fallback>
    </mc:AlternateContent>
    <mc:AlternateContent xmlns:mc="http://schemas.openxmlformats.org/markup-compatibility/2006">
      <mc:Choice Requires="x14">
        <control shapeId="1038" r:id="rId26" name="cbxBillatFrame">
          <controlPr defaultSize="0" autoLine="0" autoPict="0" r:id="rId27">
            <anchor moveWithCells="1">
              <from>
                <xdr:col>14</xdr:col>
                <xdr:colOff>266700</xdr:colOff>
                <xdr:row>0</xdr:row>
                <xdr:rowOff>57150</xdr:rowOff>
              </from>
              <to>
                <xdr:col>15</xdr:col>
                <xdr:colOff>600075</xdr:colOff>
                <xdr:row>1</xdr:row>
                <xdr:rowOff>66675</xdr:rowOff>
              </to>
            </anchor>
          </controlPr>
        </control>
      </mc:Choice>
      <mc:Fallback>
        <control shapeId="1038" r:id="rId26" name="cbxBillatFrame"/>
      </mc:Fallback>
    </mc:AlternateContent>
    <mc:AlternateContent xmlns:mc="http://schemas.openxmlformats.org/markup-compatibility/2006">
      <mc:Choice Requires="x14">
        <control shapeId="1055" r:id="rId28" name="cbxRCM">
          <controlPr defaultSize="0" autoLine="0" r:id="rId29">
            <anchor moveWithCells="1">
              <from>
                <xdr:col>10</xdr:col>
                <xdr:colOff>209550</xdr:colOff>
                <xdr:row>0</xdr:row>
                <xdr:rowOff>76200</xdr:rowOff>
              </from>
              <to>
                <xdr:col>11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055" r:id="rId28" name="cbxRCM"/>
      </mc:Fallback>
    </mc:AlternateContent>
    <mc:AlternateContent xmlns:mc="http://schemas.openxmlformats.org/markup-compatibility/2006">
      <mc:Choice Requires="x14">
        <control shapeId="1056" r:id="rId30" name="cbxBD">
          <controlPr defaultSize="0" autoLine="0" r:id="rId31">
            <anchor moveWithCells="1">
              <from>
                <xdr:col>9</xdr:col>
                <xdr:colOff>495300</xdr:colOff>
                <xdr:row>1</xdr:row>
                <xdr:rowOff>123825</xdr:rowOff>
              </from>
              <to>
                <xdr:col>10</xdr:col>
                <xdr:colOff>200025</xdr:colOff>
                <xdr:row>2</xdr:row>
                <xdr:rowOff>161925</xdr:rowOff>
              </to>
            </anchor>
          </controlPr>
        </control>
      </mc:Choice>
      <mc:Fallback>
        <control shapeId="1056" r:id="rId30" name="cbxBD"/>
      </mc:Fallback>
    </mc:AlternateContent>
    <mc:AlternateContent xmlns:mc="http://schemas.openxmlformats.org/markup-compatibility/2006">
      <mc:Choice Requires="x14">
        <control shapeId="1057" r:id="rId32" name="cbxQII">
          <controlPr defaultSize="0" autoLine="0" r:id="rId33">
            <anchor moveWithCells="1">
              <from>
                <xdr:col>9</xdr:col>
                <xdr:colOff>495300</xdr:colOff>
                <xdr:row>0</xdr:row>
                <xdr:rowOff>76200</xdr:rowOff>
              </from>
              <to>
                <xdr:col>10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057" r:id="rId32" name="cbxQII"/>
      </mc:Fallback>
    </mc:AlternateContent>
    <mc:AlternateContent xmlns:mc="http://schemas.openxmlformats.org/markup-compatibility/2006">
      <mc:Choice Requires="x14">
        <control shapeId="1061" r:id="rId34" name="cbxLLDIC">
          <controlPr defaultSize="0" autoLine="0" r:id="rId35">
            <anchor moveWithCells="1">
              <from>
                <xdr:col>10</xdr:col>
                <xdr:colOff>209550</xdr:colOff>
                <xdr:row>2</xdr:row>
                <xdr:rowOff>171450</xdr:rowOff>
              </from>
              <to>
                <xdr:col>11</xdr:col>
                <xdr:colOff>161925</xdr:colOff>
                <xdr:row>4</xdr:row>
                <xdr:rowOff>19050</xdr:rowOff>
              </to>
            </anchor>
          </controlPr>
        </control>
      </mc:Choice>
      <mc:Fallback>
        <control shapeId="1061" r:id="rId34" name="cbxLLDIC"/>
      </mc:Fallback>
    </mc:AlternateContent>
    <mc:AlternateContent xmlns:mc="http://schemas.openxmlformats.org/markup-compatibility/2006">
      <mc:Choice Requires="x14">
        <control shapeId="1073" r:id="rId36" name="cmdPaperwork">
          <controlPr defaultSize="0" autoLine="0" r:id="rId37">
            <anchor moveWithCells="1">
              <from>
                <xdr:col>2</xdr:col>
                <xdr:colOff>38100</xdr:colOff>
                <xdr:row>3</xdr:row>
                <xdr:rowOff>114300</xdr:rowOff>
              </from>
              <to>
                <xdr:col>3</xdr:col>
                <xdr:colOff>19050</xdr:colOff>
                <xdr:row>4</xdr:row>
                <xdr:rowOff>171450</xdr:rowOff>
              </to>
            </anchor>
          </controlPr>
        </control>
      </mc:Choice>
      <mc:Fallback>
        <control shapeId="1073" r:id="rId36" name="cmdPaperwork"/>
      </mc:Fallback>
    </mc:AlternateContent>
    <mc:AlternateContent xmlns:mc="http://schemas.openxmlformats.org/markup-compatibility/2006">
      <mc:Choice Requires="x14">
        <control shapeId="1088" r:id="rId38" name="CmdSignOff">
          <controlPr locked="0" defaultSize="0" autoLine="0" altText="Request Billing" r:id="rId39">
            <anchor moveWithCells="1">
              <from>
                <xdr:col>53</xdr:col>
                <xdr:colOff>76200</xdr:colOff>
                <xdr:row>2</xdr:row>
                <xdr:rowOff>171450</xdr:rowOff>
              </from>
              <to>
                <xdr:col>53</xdr:col>
                <xdr:colOff>714375</xdr:colOff>
                <xdr:row>5</xdr:row>
                <xdr:rowOff>85725</xdr:rowOff>
              </to>
            </anchor>
          </controlPr>
        </control>
      </mc:Choice>
      <mc:Fallback>
        <control shapeId="1088" r:id="rId38" name="CmdSignOff"/>
      </mc:Fallback>
    </mc:AlternateContent>
    <mc:AlternateContent xmlns:mc="http://schemas.openxmlformats.org/markup-compatibility/2006">
      <mc:Choice Requires="x14">
        <control shapeId="1089" r:id="rId40" name="cbxHVAC100">
          <controlPr defaultSize="0" autoLine="0" r:id="rId41">
            <anchor moveWithCells="1">
              <from>
                <xdr:col>45</xdr:col>
                <xdr:colOff>0</xdr:colOff>
                <xdr:row>0</xdr:row>
                <xdr:rowOff>19050</xdr:rowOff>
              </from>
              <to>
                <xdr:col>48</xdr:col>
                <xdr:colOff>66675</xdr:colOff>
                <xdr:row>1</xdr:row>
                <xdr:rowOff>28575</xdr:rowOff>
              </to>
            </anchor>
          </controlPr>
        </control>
      </mc:Choice>
      <mc:Fallback>
        <control shapeId="1089" r:id="rId40" name="cbxHVAC100"/>
      </mc:Fallback>
    </mc:AlternateContent>
    <mc:AlternateContent xmlns:mc="http://schemas.openxmlformats.org/markup-compatibility/2006">
      <mc:Choice Requires="x14">
        <control shapeId="1091" r:id="rId42" name="cbxInsul100">
          <controlPr defaultSize="0" autoLine="0" r:id="rId43">
            <anchor moveWithCells="1">
              <from>
                <xdr:col>38</xdr:col>
                <xdr:colOff>0</xdr:colOff>
                <xdr:row>0</xdr:row>
                <xdr:rowOff>0</xdr:rowOff>
              </from>
              <to>
                <xdr:col>39</xdr:col>
                <xdr:colOff>323850</xdr:colOff>
                <xdr:row>1</xdr:row>
                <xdr:rowOff>0</xdr:rowOff>
              </to>
            </anchor>
          </controlPr>
        </control>
      </mc:Choice>
      <mc:Fallback>
        <control shapeId="1091" r:id="rId42" name="cbxInsul100"/>
      </mc:Fallback>
    </mc:AlternateContent>
    <mc:AlternateContent xmlns:mc="http://schemas.openxmlformats.org/markup-compatibility/2006">
      <mc:Choice Requires="x14">
        <control shapeId="1092" r:id="rId44" name="cbxBD100">
          <controlPr defaultSize="0" autoLine="0" r:id="rId45">
            <anchor moveWithCells="1">
              <from>
                <xdr:col>32</xdr:col>
                <xdr:colOff>180975</xdr:colOff>
                <xdr:row>0</xdr:row>
                <xdr:rowOff>19050</xdr:rowOff>
              </from>
              <to>
                <xdr:col>38</xdr:col>
                <xdr:colOff>314325</xdr:colOff>
                <xdr:row>1</xdr:row>
                <xdr:rowOff>19050</xdr:rowOff>
              </to>
            </anchor>
          </controlPr>
        </control>
      </mc:Choice>
      <mc:Fallback>
        <control shapeId="1092" r:id="rId44" name="cbxBD100"/>
      </mc:Fallback>
    </mc:AlternateContent>
    <mc:AlternateContent xmlns:mc="http://schemas.openxmlformats.org/markup-compatibility/2006">
      <mc:Choice Requires="x14">
        <control shapeId="1095" r:id="rId46" name="cbxSolar100">
          <controlPr defaultSize="0" autoLine="0" r:id="rId47">
            <anchor moveWithCells="1">
              <from>
                <xdr:col>58</xdr:col>
                <xdr:colOff>76200</xdr:colOff>
                <xdr:row>0</xdr:row>
                <xdr:rowOff>57150</xdr:rowOff>
              </from>
              <to>
                <xdr:col>60</xdr:col>
                <xdr:colOff>161925</xdr:colOff>
                <xdr:row>1</xdr:row>
                <xdr:rowOff>66675</xdr:rowOff>
              </to>
            </anchor>
          </controlPr>
        </control>
      </mc:Choice>
      <mc:Fallback>
        <control shapeId="1095" r:id="rId46" name="cbxSolar100"/>
      </mc:Fallback>
    </mc:AlternateContent>
    <mc:AlternateContent xmlns:mc="http://schemas.openxmlformats.org/markup-compatibility/2006">
      <mc:Choice Requires="x14">
        <control shapeId="1101" r:id="rId48" name="cmdFreeze">
          <controlPr defaultSize="0" autoLine="0" autoPict="0" r:id="rId49">
            <anchor moveWithCells="1">
              <from>
                <xdr:col>13</xdr:col>
                <xdr:colOff>38100</xdr:colOff>
                <xdr:row>0</xdr:row>
                <xdr:rowOff>66675</xdr:rowOff>
              </from>
              <to>
                <xdr:col>13</xdr:col>
                <xdr:colOff>638175</xdr:colOff>
                <xdr:row>1</xdr:row>
                <xdr:rowOff>123825</xdr:rowOff>
              </to>
            </anchor>
          </controlPr>
        </control>
      </mc:Choice>
      <mc:Fallback>
        <control shapeId="1101" r:id="rId48" name="cmdFreeze"/>
      </mc:Fallback>
    </mc:AlternateContent>
    <mc:AlternateContent xmlns:mc="http://schemas.openxmlformats.org/markup-compatibility/2006">
      <mc:Choice Requires="x14">
        <control shapeId="1104" r:id="rId50" name="CmdGetPV">
          <controlPr locked="0" defaultSize="0" autoLine="0" altText="Request Billing" r:id="rId51">
            <anchor moveWithCells="1">
              <from>
                <xdr:col>65</xdr:col>
                <xdr:colOff>552450</xdr:colOff>
                <xdr:row>0</xdr:row>
                <xdr:rowOff>47625</xdr:rowOff>
              </from>
              <to>
                <xdr:col>66</xdr:col>
                <xdr:colOff>581025</xdr:colOff>
                <xdr:row>2</xdr:row>
                <xdr:rowOff>152400</xdr:rowOff>
              </to>
            </anchor>
          </controlPr>
        </control>
      </mc:Choice>
      <mc:Fallback>
        <control shapeId="1104" r:id="rId50" name="CmdGetPV"/>
      </mc:Fallback>
    </mc:AlternateContent>
    <mc:AlternateContent xmlns:mc="http://schemas.openxmlformats.org/markup-compatibility/2006">
      <mc:Choice Requires="x14">
        <control shapeId="1071" r:id="rId52" name="Group Box 47">
          <controlPr defaultSize="0" autoFill="0" autoPict="0">
            <anchor moveWithCells="1">
              <from>
                <xdr:col>0</xdr:col>
                <xdr:colOff>0</xdr:colOff>
                <xdr:row>0</xdr:row>
                <xdr:rowOff>114300</xdr:rowOff>
              </from>
              <to>
                <xdr:col>3</xdr:col>
                <xdr:colOff>9525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3" name="Group Box 56">
          <controlPr defaultSize="0" autoFill="0" autoPict="0">
            <anchor moveWithCells="1">
              <from>
                <xdr:col>7</xdr:col>
                <xdr:colOff>19050</xdr:colOff>
                <xdr:row>0</xdr:row>
                <xdr:rowOff>104775</xdr:rowOff>
              </from>
              <to>
                <xdr:col>9</xdr:col>
                <xdr:colOff>323850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54" name="Group Box 73">
          <controlPr defaultSize="0" autoFill="0" autoPict="0">
            <anchor moveWithCells="1">
              <from>
                <xdr:col>9</xdr:col>
                <xdr:colOff>428625</xdr:colOff>
                <xdr:row>0</xdr:row>
                <xdr:rowOff>19050</xdr:rowOff>
              </from>
              <to>
                <xdr:col>12</xdr:col>
                <xdr:colOff>381000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M90"/>
  <sheetViews>
    <sheetView workbookViewId="0">
      <pane ySplit="7" topLeftCell="A29" activePane="bottomLeft" state="frozen"/>
      <selection pane="bottomLeft" activeCell="E43" sqref="E43"/>
    </sheetView>
  </sheetViews>
  <sheetFormatPr defaultRowHeight="15" x14ac:dyDescent="0.25"/>
  <cols>
    <col min="1" max="1" width="13" style="75" customWidth="1"/>
    <col min="2" max="3" width="9.140625" style="75"/>
    <col min="4" max="4" width="11.85546875" style="75" customWidth="1"/>
    <col min="5" max="12" width="15.5703125" style="75" bestFit="1" customWidth="1"/>
    <col min="13" max="13" width="9.140625" style="75" customWidth="1"/>
    <col min="14" max="16384" width="9.140625" style="75"/>
  </cols>
  <sheetData>
    <row r="1" spans="1:13" x14ac:dyDescent="0.25">
      <c r="A1" s="64" t="s">
        <v>161</v>
      </c>
      <c r="E1" s="110"/>
      <c r="F1" s="110" t="s">
        <v>33</v>
      </c>
      <c r="G1" s="110"/>
      <c r="H1" s="110"/>
      <c r="I1" s="110"/>
      <c r="J1" s="110"/>
      <c r="K1" s="110"/>
      <c r="L1" s="110"/>
      <c r="M1" s="110"/>
    </row>
    <row r="2" spans="1:13" x14ac:dyDescent="0.25">
      <c r="A2" s="64" t="s">
        <v>47</v>
      </c>
      <c r="E2" s="110"/>
      <c r="F2" s="110" t="s">
        <v>47</v>
      </c>
      <c r="G2" s="110"/>
      <c r="H2" s="110"/>
      <c r="I2" s="110"/>
      <c r="J2" s="110"/>
      <c r="K2" s="110"/>
      <c r="L2" s="110"/>
      <c r="M2" s="110"/>
    </row>
    <row r="3" spans="1:13" x14ac:dyDescent="0.25">
      <c r="A3" s="64" t="s">
        <v>162</v>
      </c>
      <c r="B3" s="111">
        <v>0</v>
      </c>
      <c r="L3" s="65" t="s">
        <v>5</v>
      </c>
    </row>
    <row r="4" spans="1:13" x14ac:dyDescent="0.25">
      <c r="L4" s="66" t="s">
        <v>163</v>
      </c>
    </row>
    <row r="5" spans="1:13" x14ac:dyDescent="0.25">
      <c r="G5" s="84"/>
    </row>
    <row r="6" spans="1:13" x14ac:dyDescent="0.25">
      <c r="D6" s="190" t="s">
        <v>164</v>
      </c>
      <c r="E6" s="191"/>
      <c r="F6" s="191"/>
      <c r="G6" s="191"/>
      <c r="H6" s="191"/>
      <c r="I6" s="191"/>
      <c r="J6" s="191"/>
      <c r="K6" s="191"/>
      <c r="L6" s="191"/>
      <c r="M6" s="192"/>
    </row>
    <row r="7" spans="1:13" s="3" customFormat="1" x14ac:dyDescent="0.25">
      <c r="A7" s="146" t="s">
        <v>165</v>
      </c>
      <c r="E7" s="147">
        <v>1</v>
      </c>
      <c r="F7" s="147"/>
      <c r="G7" s="147"/>
      <c r="H7" s="147"/>
      <c r="I7" s="147"/>
      <c r="J7" s="147"/>
      <c r="K7" s="147"/>
      <c r="L7" s="147"/>
      <c r="M7" s="148"/>
    </row>
    <row r="8" spans="1:13" x14ac:dyDescent="0.25">
      <c r="E8" s="83"/>
      <c r="F8" s="83"/>
      <c r="G8" s="83"/>
      <c r="H8" s="83"/>
      <c r="I8" s="83"/>
      <c r="J8" s="83"/>
      <c r="K8" s="83"/>
      <c r="L8" s="83"/>
      <c r="M8" s="83"/>
    </row>
    <row r="9" spans="1:13" x14ac:dyDescent="0.25">
      <c r="A9" s="84" t="s">
        <v>87</v>
      </c>
      <c r="E9" s="91" t="s">
        <v>166</v>
      </c>
      <c r="F9" s="91" t="s">
        <v>166</v>
      </c>
      <c r="G9" s="91" t="s">
        <v>166</v>
      </c>
      <c r="H9" s="91" t="s">
        <v>166</v>
      </c>
      <c r="I9" s="91" t="s">
        <v>166</v>
      </c>
      <c r="J9" s="91" t="s">
        <v>166</v>
      </c>
      <c r="K9" s="91" t="s">
        <v>166</v>
      </c>
      <c r="L9" s="91" t="s">
        <v>166</v>
      </c>
      <c r="M9" s="85"/>
    </row>
    <row r="10" spans="1:13" x14ac:dyDescent="0.25">
      <c r="A10" s="75" t="s">
        <v>88</v>
      </c>
      <c r="E10" s="91">
        <v>1500</v>
      </c>
      <c r="F10" s="91" t="s">
        <v>166</v>
      </c>
      <c r="G10" s="91" t="s">
        <v>166</v>
      </c>
      <c r="H10" s="91" t="s">
        <v>166</v>
      </c>
      <c r="I10" s="91" t="s">
        <v>166</v>
      </c>
      <c r="J10" s="91" t="s">
        <v>166</v>
      </c>
      <c r="K10" s="91" t="s">
        <v>166</v>
      </c>
      <c r="L10" s="91" t="s">
        <v>166</v>
      </c>
      <c r="M10" s="85"/>
    </row>
    <row r="11" spans="1:13" x14ac:dyDescent="0.25">
      <c r="A11" s="75" t="s">
        <v>89</v>
      </c>
      <c r="E11" s="112" t="s">
        <v>166</v>
      </c>
      <c r="F11" s="112" t="s">
        <v>166</v>
      </c>
      <c r="G11" s="112" t="s">
        <v>166</v>
      </c>
      <c r="H11" s="112" t="s">
        <v>166</v>
      </c>
      <c r="I11" s="112" t="s">
        <v>166</v>
      </c>
      <c r="J11" s="112" t="s">
        <v>166</v>
      </c>
      <c r="K11" s="112" t="s">
        <v>166</v>
      </c>
      <c r="L11" s="112" t="s">
        <v>166</v>
      </c>
      <c r="M11" s="86"/>
    </row>
    <row r="12" spans="1:13" x14ac:dyDescent="0.25">
      <c r="A12" s="113" t="s">
        <v>90</v>
      </c>
      <c r="B12" s="113"/>
      <c r="C12" s="113"/>
      <c r="D12" s="113"/>
      <c r="E12" s="112" t="s">
        <v>166</v>
      </c>
      <c r="F12" s="112" t="s">
        <v>166</v>
      </c>
      <c r="G12" s="112" t="s">
        <v>166</v>
      </c>
      <c r="H12" s="112" t="s">
        <v>166</v>
      </c>
      <c r="I12" s="112" t="s">
        <v>166</v>
      </c>
      <c r="J12" s="112" t="s">
        <v>166</v>
      </c>
      <c r="K12" s="112" t="s">
        <v>166</v>
      </c>
      <c r="L12" s="112" t="s">
        <v>166</v>
      </c>
      <c r="M12" s="86"/>
    </row>
    <row r="13" spans="1:13" x14ac:dyDescent="0.25">
      <c r="A13" s="114" t="s">
        <v>167</v>
      </c>
      <c r="B13" s="113"/>
      <c r="C13" s="113"/>
      <c r="D13" s="113"/>
      <c r="E13" s="115"/>
      <c r="F13" s="115"/>
      <c r="G13" s="115"/>
      <c r="H13" s="115"/>
      <c r="I13" s="115"/>
      <c r="J13" s="115"/>
      <c r="K13" s="115"/>
      <c r="L13" s="115"/>
      <c r="M13" s="86"/>
    </row>
    <row r="14" spans="1:13" x14ac:dyDescent="0.25">
      <c r="A14" s="114" t="s">
        <v>168</v>
      </c>
      <c r="B14" s="113"/>
      <c r="C14" s="113"/>
      <c r="D14" s="113"/>
      <c r="E14" s="116"/>
      <c r="F14" s="116"/>
      <c r="G14" s="116"/>
      <c r="H14" s="116"/>
      <c r="I14" s="116"/>
      <c r="J14" s="116"/>
      <c r="K14" s="116"/>
      <c r="L14" s="116"/>
      <c r="M14" s="87"/>
    </row>
    <row r="15" spans="1:13" x14ac:dyDescent="0.25">
      <c r="A15" s="193" t="s">
        <v>169</v>
      </c>
      <c r="B15" s="194"/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5"/>
    </row>
    <row r="16" spans="1:13" x14ac:dyDescent="0.25">
      <c r="A16" s="75" t="s">
        <v>91</v>
      </c>
      <c r="E16" s="90" t="s">
        <v>196</v>
      </c>
      <c r="F16" s="90" t="s">
        <v>196</v>
      </c>
      <c r="G16" s="90" t="s">
        <v>196</v>
      </c>
      <c r="H16" s="90" t="s">
        <v>196</v>
      </c>
      <c r="I16" s="90" t="s">
        <v>196</v>
      </c>
      <c r="J16" s="90" t="s">
        <v>196</v>
      </c>
      <c r="K16" s="90" t="s">
        <v>196</v>
      </c>
      <c r="L16" s="90" t="s">
        <v>196</v>
      </c>
    </row>
    <row r="17" spans="1:13" x14ac:dyDescent="0.25">
      <c r="A17" s="75" t="s">
        <v>92</v>
      </c>
      <c r="E17" s="88" t="s">
        <v>170</v>
      </c>
      <c r="F17" s="88" t="s">
        <v>170</v>
      </c>
      <c r="G17" s="88" t="s">
        <v>170</v>
      </c>
      <c r="H17" s="88" t="s">
        <v>170</v>
      </c>
      <c r="I17" s="88" t="s">
        <v>170</v>
      </c>
      <c r="J17" s="88" t="s">
        <v>170</v>
      </c>
      <c r="K17" s="88" t="s">
        <v>170</v>
      </c>
      <c r="L17" s="88" t="s">
        <v>170</v>
      </c>
    </row>
    <row r="18" spans="1:13" x14ac:dyDescent="0.25">
      <c r="A18" s="84" t="s">
        <v>93</v>
      </c>
      <c r="E18" s="89" t="s">
        <v>166</v>
      </c>
      <c r="F18" s="89" t="s">
        <v>166</v>
      </c>
      <c r="G18" s="89" t="s">
        <v>166</v>
      </c>
      <c r="H18" s="89" t="s">
        <v>166</v>
      </c>
      <c r="I18" s="89" t="s">
        <v>166</v>
      </c>
      <c r="J18" s="89" t="s">
        <v>166</v>
      </c>
      <c r="K18" s="89" t="s">
        <v>166</v>
      </c>
      <c r="L18" s="89" t="s">
        <v>166</v>
      </c>
    </row>
    <row r="19" spans="1:13" x14ac:dyDescent="0.25">
      <c r="A19" s="75" t="s">
        <v>94</v>
      </c>
      <c r="E19" s="91" t="s">
        <v>166</v>
      </c>
      <c r="F19" s="91" t="s">
        <v>166</v>
      </c>
      <c r="G19" s="91" t="s">
        <v>166</v>
      </c>
      <c r="H19" s="91" t="s">
        <v>166</v>
      </c>
      <c r="I19" s="91" t="s">
        <v>166</v>
      </c>
      <c r="J19" s="91" t="s">
        <v>166</v>
      </c>
      <c r="K19" s="91" t="s">
        <v>166</v>
      </c>
      <c r="L19" s="91" t="s">
        <v>166</v>
      </c>
    </row>
    <row r="20" spans="1:13" x14ac:dyDescent="0.25">
      <c r="A20" s="75" t="s">
        <v>95</v>
      </c>
      <c r="E20" s="91" t="s">
        <v>166</v>
      </c>
      <c r="F20" s="91" t="s">
        <v>166</v>
      </c>
      <c r="G20" s="91" t="s">
        <v>166</v>
      </c>
      <c r="H20" s="91" t="s">
        <v>166</v>
      </c>
      <c r="I20" s="91" t="s">
        <v>166</v>
      </c>
      <c r="J20" s="91" t="s">
        <v>166</v>
      </c>
      <c r="K20" s="91" t="s">
        <v>166</v>
      </c>
      <c r="L20" s="91" t="s">
        <v>166</v>
      </c>
    </row>
    <row r="21" spans="1:13" x14ac:dyDescent="0.25">
      <c r="A21" s="75" t="s">
        <v>96</v>
      </c>
      <c r="E21" s="88" t="s">
        <v>126</v>
      </c>
      <c r="F21" s="88" t="s">
        <v>126</v>
      </c>
      <c r="G21" s="88" t="s">
        <v>126</v>
      </c>
      <c r="H21" s="88" t="s">
        <v>126</v>
      </c>
      <c r="I21" s="88" t="s">
        <v>126</v>
      </c>
      <c r="J21" s="88" t="s">
        <v>126</v>
      </c>
      <c r="K21" s="88" t="s">
        <v>126</v>
      </c>
      <c r="L21" s="88" t="s">
        <v>126</v>
      </c>
    </row>
    <row r="22" spans="1:13" x14ac:dyDescent="0.25">
      <c r="A22" s="75" t="s">
        <v>97</v>
      </c>
      <c r="E22" s="90" t="s">
        <v>124</v>
      </c>
      <c r="F22" s="90" t="s">
        <v>124</v>
      </c>
      <c r="G22" s="90" t="s">
        <v>124</v>
      </c>
      <c r="H22" s="90" t="s">
        <v>124</v>
      </c>
      <c r="I22" s="90" t="s">
        <v>124</v>
      </c>
      <c r="J22" s="90" t="s">
        <v>124</v>
      </c>
      <c r="K22" s="90" t="s">
        <v>124</v>
      </c>
      <c r="L22" s="90" t="s">
        <v>124</v>
      </c>
    </row>
    <row r="23" spans="1:13" x14ac:dyDescent="0.25">
      <c r="A23" s="84" t="s">
        <v>98</v>
      </c>
      <c r="E23" s="90" t="s">
        <v>124</v>
      </c>
      <c r="F23" s="90" t="s">
        <v>124</v>
      </c>
      <c r="G23" s="90" t="s">
        <v>124</v>
      </c>
      <c r="H23" s="90" t="s">
        <v>124</v>
      </c>
      <c r="I23" s="90" t="s">
        <v>124</v>
      </c>
      <c r="J23" s="90" t="s">
        <v>124</v>
      </c>
      <c r="K23" s="90" t="s">
        <v>124</v>
      </c>
      <c r="L23" s="90" t="s">
        <v>124</v>
      </c>
    </row>
    <row r="24" spans="1:13" x14ac:dyDescent="0.25">
      <c r="A24" s="75" t="s">
        <v>99</v>
      </c>
      <c r="E24" s="91" t="s">
        <v>166</v>
      </c>
      <c r="F24" s="91" t="s">
        <v>166</v>
      </c>
      <c r="G24" s="91" t="s">
        <v>166</v>
      </c>
      <c r="H24" s="91" t="s">
        <v>166</v>
      </c>
      <c r="I24" s="91" t="s">
        <v>166</v>
      </c>
      <c r="J24" s="91" t="s">
        <v>166</v>
      </c>
      <c r="K24" s="91" t="s">
        <v>166</v>
      </c>
      <c r="L24" s="91" t="s">
        <v>166</v>
      </c>
    </row>
    <row r="25" spans="1:13" x14ac:dyDescent="0.25">
      <c r="A25" s="75" t="s">
        <v>100</v>
      </c>
      <c r="E25" s="92" t="s">
        <v>166</v>
      </c>
      <c r="F25" s="92" t="s">
        <v>166</v>
      </c>
      <c r="G25" s="92" t="s">
        <v>166</v>
      </c>
      <c r="H25" s="92" t="s">
        <v>166</v>
      </c>
      <c r="I25" s="92" t="s">
        <v>166</v>
      </c>
      <c r="J25" s="92" t="s">
        <v>166</v>
      </c>
      <c r="K25" s="92" t="s">
        <v>166</v>
      </c>
      <c r="L25" s="92" t="s">
        <v>166</v>
      </c>
    </row>
    <row r="26" spans="1:13" x14ac:dyDescent="0.25">
      <c r="A26" s="187" t="s">
        <v>171</v>
      </c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9"/>
    </row>
    <row r="27" spans="1:13" x14ac:dyDescent="0.25">
      <c r="A27" s="84" t="s">
        <v>101</v>
      </c>
      <c r="E27" s="117" t="s">
        <v>166</v>
      </c>
      <c r="F27" s="117" t="s">
        <v>166</v>
      </c>
      <c r="G27" s="117" t="s">
        <v>166</v>
      </c>
      <c r="H27" s="117" t="s">
        <v>166</v>
      </c>
      <c r="I27" s="117" t="s">
        <v>166</v>
      </c>
      <c r="J27" s="117" t="s">
        <v>166</v>
      </c>
      <c r="K27" s="117" t="s">
        <v>166</v>
      </c>
      <c r="L27" s="117" t="s">
        <v>166</v>
      </c>
    </row>
    <row r="28" spans="1:13" x14ac:dyDescent="0.25">
      <c r="A28" s="84" t="s">
        <v>102</v>
      </c>
      <c r="E28" s="117" t="s">
        <v>166</v>
      </c>
      <c r="F28" s="117" t="s">
        <v>166</v>
      </c>
      <c r="G28" s="117" t="s">
        <v>166</v>
      </c>
      <c r="H28" s="117" t="s">
        <v>166</v>
      </c>
      <c r="I28" s="117" t="s">
        <v>166</v>
      </c>
      <c r="J28" s="117" t="s">
        <v>166</v>
      </c>
      <c r="K28" s="117" t="s">
        <v>166</v>
      </c>
      <c r="L28" s="117" t="s">
        <v>166</v>
      </c>
    </row>
    <row r="29" spans="1:13" x14ac:dyDescent="0.25">
      <c r="A29" s="84" t="s">
        <v>103</v>
      </c>
      <c r="E29" s="117" t="s">
        <v>166</v>
      </c>
      <c r="F29" s="117" t="s">
        <v>166</v>
      </c>
      <c r="G29" s="117" t="s">
        <v>166</v>
      </c>
      <c r="H29" s="117" t="s">
        <v>166</v>
      </c>
      <c r="I29" s="117" t="s">
        <v>166</v>
      </c>
      <c r="J29" s="117" t="s">
        <v>166</v>
      </c>
      <c r="K29" s="117" t="s">
        <v>166</v>
      </c>
      <c r="L29" s="117" t="s">
        <v>166</v>
      </c>
    </row>
    <row r="30" spans="1:13" x14ac:dyDescent="0.25">
      <c r="A30" s="84" t="s">
        <v>104</v>
      </c>
      <c r="E30" s="128"/>
      <c r="F30" s="117" t="s">
        <v>166</v>
      </c>
      <c r="G30" s="117" t="s">
        <v>166</v>
      </c>
      <c r="H30" s="117" t="s">
        <v>166</v>
      </c>
      <c r="I30" s="117" t="s">
        <v>166</v>
      </c>
      <c r="J30" s="117" t="s">
        <v>166</v>
      </c>
      <c r="K30" s="117" t="s">
        <v>166</v>
      </c>
      <c r="L30" s="117" t="s">
        <v>166</v>
      </c>
    </row>
    <row r="31" spans="1:13" x14ac:dyDescent="0.25">
      <c r="A31" s="84" t="s">
        <v>172</v>
      </c>
      <c r="E31" s="89" t="s">
        <v>166</v>
      </c>
      <c r="F31" s="89" t="s">
        <v>166</v>
      </c>
      <c r="G31" s="89" t="s">
        <v>166</v>
      </c>
      <c r="H31" s="89" t="s">
        <v>166</v>
      </c>
      <c r="I31" s="89" t="s">
        <v>166</v>
      </c>
      <c r="J31" s="89" t="s">
        <v>166</v>
      </c>
      <c r="K31" s="89" t="s">
        <v>166</v>
      </c>
      <c r="L31" s="89" t="s">
        <v>166</v>
      </c>
    </row>
    <row r="32" spans="1:13" x14ac:dyDescent="0.25">
      <c r="A32" s="84" t="s">
        <v>173</v>
      </c>
      <c r="E32" s="117" t="s">
        <v>166</v>
      </c>
      <c r="F32" s="117" t="s">
        <v>166</v>
      </c>
      <c r="G32" s="117" t="s">
        <v>166</v>
      </c>
      <c r="H32" s="117" t="s">
        <v>166</v>
      </c>
      <c r="I32" s="117" t="s">
        <v>166</v>
      </c>
      <c r="J32" s="117" t="s">
        <v>166</v>
      </c>
      <c r="K32" s="117" t="s">
        <v>166</v>
      </c>
      <c r="L32" s="117" t="s">
        <v>166</v>
      </c>
    </row>
    <row r="33" spans="1:13" x14ac:dyDescent="0.25">
      <c r="A33" s="84" t="s">
        <v>174</v>
      </c>
      <c r="E33" s="117" t="s">
        <v>166</v>
      </c>
      <c r="F33" s="117" t="s">
        <v>166</v>
      </c>
      <c r="G33" s="117" t="s">
        <v>166</v>
      </c>
      <c r="H33" s="117" t="s">
        <v>166</v>
      </c>
      <c r="I33" s="117" t="s">
        <v>166</v>
      </c>
      <c r="J33" s="117" t="s">
        <v>166</v>
      </c>
      <c r="K33" s="117" t="s">
        <v>166</v>
      </c>
      <c r="L33" s="117" t="s">
        <v>166</v>
      </c>
    </row>
    <row r="34" spans="1:13" x14ac:dyDescent="0.25">
      <c r="A34" s="187" t="s">
        <v>175</v>
      </c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9"/>
    </row>
    <row r="35" spans="1:13" x14ac:dyDescent="0.25">
      <c r="A35" s="118" t="s">
        <v>176</v>
      </c>
      <c r="E35" s="119" t="s">
        <v>166</v>
      </c>
      <c r="F35" s="119" t="s">
        <v>166</v>
      </c>
      <c r="G35" s="119" t="s">
        <v>166</v>
      </c>
      <c r="H35" s="119" t="s">
        <v>166</v>
      </c>
      <c r="I35" s="119" t="s">
        <v>166</v>
      </c>
      <c r="J35" s="119" t="s">
        <v>166</v>
      </c>
      <c r="K35" s="119" t="s">
        <v>166</v>
      </c>
      <c r="L35" s="119" t="s">
        <v>166</v>
      </c>
    </row>
    <row r="36" spans="1:13" x14ac:dyDescent="0.25">
      <c r="A36" s="187" t="s">
        <v>177</v>
      </c>
      <c r="B36" s="188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9"/>
    </row>
    <row r="37" spans="1:13" x14ac:dyDescent="0.25">
      <c r="A37" s="120" t="s">
        <v>178</v>
      </c>
      <c r="E37" s="121">
        <v>0.06</v>
      </c>
      <c r="F37" s="121">
        <v>0.06</v>
      </c>
      <c r="G37" s="121">
        <v>0.06</v>
      </c>
      <c r="H37" s="121">
        <v>0.06</v>
      </c>
      <c r="I37" s="121">
        <v>0.06</v>
      </c>
      <c r="J37" s="121">
        <v>0.06</v>
      </c>
      <c r="K37" s="121">
        <v>0.06</v>
      </c>
      <c r="L37" s="121">
        <v>0.06</v>
      </c>
    </row>
    <row r="38" spans="1:13" x14ac:dyDescent="0.25">
      <c r="A38" s="120" t="s">
        <v>179</v>
      </c>
      <c r="E38" s="88">
        <v>350</v>
      </c>
      <c r="F38" s="88">
        <v>350</v>
      </c>
      <c r="G38" s="88">
        <v>350</v>
      </c>
      <c r="H38" s="88">
        <v>350</v>
      </c>
      <c r="I38" s="88">
        <v>350</v>
      </c>
      <c r="J38" s="88">
        <v>350</v>
      </c>
      <c r="K38" s="88">
        <v>350</v>
      </c>
      <c r="L38" s="88">
        <v>350</v>
      </c>
    </row>
    <row r="39" spans="1:13" x14ac:dyDescent="0.25">
      <c r="A39" s="120" t="s">
        <v>180</v>
      </c>
      <c r="E39" s="88">
        <v>0.57999999999999996</v>
      </c>
      <c r="F39" s="88">
        <v>0.57999999999999996</v>
      </c>
      <c r="G39" s="88">
        <v>0.57999999999999996</v>
      </c>
      <c r="H39" s="88">
        <v>0.57999999999999996</v>
      </c>
      <c r="I39" s="88">
        <v>0.57999999999999996</v>
      </c>
      <c r="J39" s="88">
        <v>0.57999999999999996</v>
      </c>
      <c r="K39" s="88">
        <v>0.57999999999999996</v>
      </c>
      <c r="L39" s="88">
        <v>0.57999999999999996</v>
      </c>
    </row>
    <row r="40" spans="1:13" x14ac:dyDescent="0.25">
      <c r="A40" s="120" t="s">
        <v>181</v>
      </c>
      <c r="E40" s="122" t="s">
        <v>125</v>
      </c>
      <c r="F40" s="122" t="s">
        <v>125</v>
      </c>
      <c r="G40" s="122" t="s">
        <v>125</v>
      </c>
      <c r="H40" s="122" t="s">
        <v>125</v>
      </c>
      <c r="I40" s="122" t="s">
        <v>125</v>
      </c>
      <c r="J40" s="122" t="s">
        <v>125</v>
      </c>
      <c r="K40" s="122" t="s">
        <v>125</v>
      </c>
      <c r="L40" s="122" t="s">
        <v>125</v>
      </c>
    </row>
    <row r="41" spans="1:13" x14ac:dyDescent="0.25">
      <c r="A41" s="120" t="s">
        <v>182</v>
      </c>
      <c r="E41" s="89"/>
      <c r="F41" s="89" t="s">
        <v>166</v>
      </c>
      <c r="G41" s="89" t="s">
        <v>166</v>
      </c>
      <c r="H41" s="89" t="s">
        <v>166</v>
      </c>
      <c r="I41" s="89" t="s">
        <v>166</v>
      </c>
      <c r="J41" s="89" t="s">
        <v>166</v>
      </c>
      <c r="K41" s="89" t="s">
        <v>166</v>
      </c>
      <c r="L41" s="89" t="s">
        <v>166</v>
      </c>
    </row>
    <row r="42" spans="1:13" x14ac:dyDescent="0.25">
      <c r="A42" s="84" t="s">
        <v>105</v>
      </c>
      <c r="E42" s="89"/>
      <c r="F42" s="89" t="s">
        <v>166</v>
      </c>
      <c r="G42" s="89" t="s">
        <v>166</v>
      </c>
      <c r="H42" s="89" t="s">
        <v>166</v>
      </c>
      <c r="I42" s="89" t="s">
        <v>166</v>
      </c>
      <c r="J42" s="89" t="s">
        <v>166</v>
      </c>
      <c r="K42" s="89" t="s">
        <v>166</v>
      </c>
      <c r="L42" s="89" t="s">
        <v>166</v>
      </c>
    </row>
    <row r="43" spans="1:13" x14ac:dyDescent="0.25">
      <c r="A43" s="84" t="s">
        <v>183</v>
      </c>
      <c r="E43" s="93"/>
      <c r="F43" s="89" t="s">
        <v>166</v>
      </c>
      <c r="G43" s="89" t="s">
        <v>166</v>
      </c>
      <c r="H43" s="89" t="s">
        <v>166</v>
      </c>
      <c r="I43" s="89" t="s">
        <v>166</v>
      </c>
      <c r="J43" s="89" t="s">
        <v>166</v>
      </c>
      <c r="K43" s="89" t="s">
        <v>166</v>
      </c>
      <c r="L43" s="89" t="s">
        <v>166</v>
      </c>
    </row>
    <row r="44" spans="1:13" x14ac:dyDescent="0.25">
      <c r="A44" s="84" t="s">
        <v>106</v>
      </c>
      <c r="E44" s="89"/>
      <c r="F44" s="89" t="s">
        <v>166</v>
      </c>
      <c r="G44" s="89" t="s">
        <v>166</v>
      </c>
      <c r="H44" s="89" t="s">
        <v>166</v>
      </c>
      <c r="I44" s="89" t="s">
        <v>166</v>
      </c>
      <c r="J44" s="89" t="s">
        <v>166</v>
      </c>
      <c r="K44" s="89" t="s">
        <v>166</v>
      </c>
      <c r="L44" s="89" t="s">
        <v>166</v>
      </c>
    </row>
    <row r="45" spans="1:13" x14ac:dyDescent="0.25">
      <c r="A45" s="84" t="s">
        <v>184</v>
      </c>
      <c r="E45" s="89">
        <v>4</v>
      </c>
      <c r="F45" s="89" t="s">
        <v>166</v>
      </c>
      <c r="G45" s="89" t="s">
        <v>166</v>
      </c>
      <c r="H45" s="89" t="s">
        <v>166</v>
      </c>
      <c r="I45" s="89" t="s">
        <v>166</v>
      </c>
      <c r="J45" s="89" t="s">
        <v>166</v>
      </c>
      <c r="K45" s="89" t="s">
        <v>166</v>
      </c>
      <c r="L45" s="89" t="s">
        <v>166</v>
      </c>
    </row>
    <row r="46" spans="1:13" x14ac:dyDescent="0.25">
      <c r="A46" s="84" t="s">
        <v>185</v>
      </c>
      <c r="E46" s="127" t="s">
        <v>125</v>
      </c>
      <c r="F46" s="89" t="s">
        <v>166</v>
      </c>
      <c r="G46" s="89" t="s">
        <v>166</v>
      </c>
      <c r="H46" s="89" t="s">
        <v>166</v>
      </c>
      <c r="I46" s="89" t="s">
        <v>166</v>
      </c>
      <c r="J46" s="89" t="s">
        <v>166</v>
      </c>
      <c r="K46" s="89" t="s">
        <v>166</v>
      </c>
      <c r="L46" s="89" t="s">
        <v>166</v>
      </c>
    </row>
    <row r="47" spans="1:13" x14ac:dyDescent="0.25">
      <c r="A47" s="84" t="s">
        <v>186</v>
      </c>
      <c r="E47" s="89" t="s">
        <v>166</v>
      </c>
      <c r="F47" s="89" t="s">
        <v>166</v>
      </c>
      <c r="G47" s="89" t="s">
        <v>166</v>
      </c>
      <c r="H47" s="89" t="s">
        <v>166</v>
      </c>
      <c r="I47" s="89" t="s">
        <v>166</v>
      </c>
      <c r="J47" s="89" t="s">
        <v>166</v>
      </c>
      <c r="K47" s="89" t="s">
        <v>166</v>
      </c>
      <c r="L47" s="89" t="s">
        <v>166</v>
      </c>
    </row>
    <row r="48" spans="1:13" x14ac:dyDescent="0.25">
      <c r="A48" s="84" t="s">
        <v>107</v>
      </c>
      <c r="E48" s="89" t="s">
        <v>166</v>
      </c>
      <c r="F48" s="89" t="s">
        <v>166</v>
      </c>
      <c r="G48" s="89" t="s">
        <v>166</v>
      </c>
      <c r="H48" s="89" t="s">
        <v>166</v>
      </c>
      <c r="I48" s="89" t="s">
        <v>166</v>
      </c>
      <c r="J48" s="89" t="s">
        <v>166</v>
      </c>
      <c r="K48" s="89" t="s">
        <v>166</v>
      </c>
      <c r="L48" s="89" t="s">
        <v>166</v>
      </c>
    </row>
    <row r="49" spans="1:13" x14ac:dyDescent="0.25">
      <c r="A49" s="84" t="s">
        <v>108</v>
      </c>
      <c r="E49" s="89" t="s">
        <v>166</v>
      </c>
      <c r="F49" s="89" t="s">
        <v>166</v>
      </c>
      <c r="G49" s="89" t="s">
        <v>166</v>
      </c>
      <c r="H49" s="89" t="s">
        <v>166</v>
      </c>
      <c r="I49" s="89" t="s">
        <v>166</v>
      </c>
      <c r="J49" s="89" t="s">
        <v>166</v>
      </c>
      <c r="K49" s="89" t="s">
        <v>166</v>
      </c>
      <c r="L49" s="89" t="s">
        <v>166</v>
      </c>
    </row>
    <row r="50" spans="1:13" x14ac:dyDescent="0.25">
      <c r="A50" s="84" t="s">
        <v>109</v>
      </c>
      <c r="E50" s="89" t="s">
        <v>166</v>
      </c>
      <c r="F50" s="89" t="s">
        <v>166</v>
      </c>
      <c r="G50" s="89" t="s">
        <v>166</v>
      </c>
      <c r="H50" s="89" t="s">
        <v>166</v>
      </c>
      <c r="I50" s="89" t="s">
        <v>166</v>
      </c>
      <c r="J50" s="89" t="s">
        <v>166</v>
      </c>
      <c r="K50" s="89" t="s">
        <v>166</v>
      </c>
      <c r="L50" s="89" t="s">
        <v>166</v>
      </c>
    </row>
    <row r="51" spans="1:13" x14ac:dyDescent="0.25">
      <c r="A51" s="84" t="s">
        <v>110</v>
      </c>
      <c r="E51" s="89" t="s">
        <v>166</v>
      </c>
      <c r="F51" s="89" t="s">
        <v>166</v>
      </c>
      <c r="G51" s="89" t="s">
        <v>166</v>
      </c>
      <c r="H51" s="89" t="s">
        <v>166</v>
      </c>
      <c r="I51" s="89" t="s">
        <v>166</v>
      </c>
      <c r="J51" s="89" t="s">
        <v>166</v>
      </c>
      <c r="K51" s="89" t="s">
        <v>166</v>
      </c>
      <c r="L51" s="89" t="s">
        <v>166</v>
      </c>
    </row>
    <row r="52" spans="1:13" x14ac:dyDescent="0.25">
      <c r="A52" s="187" t="s">
        <v>187</v>
      </c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9"/>
    </row>
    <row r="53" spans="1:13" x14ac:dyDescent="0.25">
      <c r="A53" s="84" t="s">
        <v>111</v>
      </c>
      <c r="E53" s="89" t="s">
        <v>166</v>
      </c>
      <c r="F53" s="89" t="s">
        <v>166</v>
      </c>
      <c r="G53" s="89" t="s">
        <v>166</v>
      </c>
      <c r="H53" s="89" t="s">
        <v>166</v>
      </c>
      <c r="I53" s="89" t="s">
        <v>166</v>
      </c>
      <c r="J53" s="89" t="s">
        <v>166</v>
      </c>
      <c r="K53" s="89" t="s">
        <v>166</v>
      </c>
      <c r="L53" s="89" t="s">
        <v>166</v>
      </c>
    </row>
    <row r="54" spans="1:13" x14ac:dyDescent="0.25">
      <c r="A54" s="84" t="s">
        <v>112</v>
      </c>
      <c r="E54" s="89" t="s">
        <v>166</v>
      </c>
      <c r="F54" s="89" t="s">
        <v>166</v>
      </c>
      <c r="G54" s="89" t="s">
        <v>166</v>
      </c>
      <c r="H54" s="89" t="s">
        <v>166</v>
      </c>
      <c r="I54" s="89" t="s">
        <v>166</v>
      </c>
      <c r="J54" s="89" t="s">
        <v>166</v>
      </c>
      <c r="K54" s="89" t="s">
        <v>166</v>
      </c>
      <c r="L54" s="89" t="s">
        <v>166</v>
      </c>
    </row>
    <row r="55" spans="1:13" x14ac:dyDescent="0.25">
      <c r="A55" s="84" t="s">
        <v>188</v>
      </c>
      <c r="E55" s="89" t="s">
        <v>166</v>
      </c>
      <c r="F55" s="89" t="s">
        <v>166</v>
      </c>
      <c r="G55" s="89" t="s">
        <v>166</v>
      </c>
      <c r="H55" s="89" t="s">
        <v>166</v>
      </c>
      <c r="I55" s="89" t="s">
        <v>166</v>
      </c>
      <c r="J55" s="89" t="s">
        <v>166</v>
      </c>
      <c r="K55" s="89" t="s">
        <v>166</v>
      </c>
      <c r="L55" s="89" t="s">
        <v>166</v>
      </c>
    </row>
    <row r="56" spans="1:13" x14ac:dyDescent="0.25">
      <c r="A56" s="84" t="s">
        <v>68</v>
      </c>
      <c r="E56" s="89" t="s">
        <v>166</v>
      </c>
      <c r="F56" s="89" t="s">
        <v>166</v>
      </c>
      <c r="G56" s="89" t="s">
        <v>166</v>
      </c>
      <c r="H56" s="89" t="s">
        <v>166</v>
      </c>
      <c r="I56" s="89" t="s">
        <v>166</v>
      </c>
      <c r="J56" s="89" t="s">
        <v>166</v>
      </c>
      <c r="K56" s="89" t="s">
        <v>166</v>
      </c>
      <c r="L56" s="89" t="s">
        <v>166</v>
      </c>
    </row>
    <row r="57" spans="1:13" x14ac:dyDescent="0.25">
      <c r="A57" s="84" t="s">
        <v>113</v>
      </c>
      <c r="E57" s="123" t="s">
        <v>189</v>
      </c>
      <c r="F57" s="123" t="s">
        <v>189</v>
      </c>
      <c r="G57" s="123" t="s">
        <v>189</v>
      </c>
      <c r="H57" s="123" t="s">
        <v>189</v>
      </c>
      <c r="I57" s="123" t="s">
        <v>189</v>
      </c>
      <c r="J57" s="123" t="s">
        <v>189</v>
      </c>
      <c r="K57" s="123" t="s">
        <v>189</v>
      </c>
      <c r="L57" s="123" t="s">
        <v>189</v>
      </c>
    </row>
    <row r="58" spans="1:13" x14ac:dyDescent="0.25">
      <c r="A58" s="84" t="s">
        <v>114</v>
      </c>
      <c r="E58" s="90" t="s">
        <v>125</v>
      </c>
      <c r="F58" s="90" t="s">
        <v>125</v>
      </c>
      <c r="G58" s="90" t="s">
        <v>125</v>
      </c>
      <c r="H58" s="90" t="s">
        <v>125</v>
      </c>
      <c r="I58" s="90" t="s">
        <v>125</v>
      </c>
      <c r="J58" s="90" t="s">
        <v>125</v>
      </c>
      <c r="K58" s="90" t="s">
        <v>125</v>
      </c>
      <c r="L58" s="90" t="s">
        <v>125</v>
      </c>
    </row>
    <row r="59" spans="1:13" x14ac:dyDescent="0.25">
      <c r="A59" s="187" t="s">
        <v>190</v>
      </c>
      <c r="B59" s="188"/>
      <c r="C59" s="188"/>
      <c r="D59" s="188"/>
      <c r="E59" s="188"/>
      <c r="F59" s="188"/>
      <c r="G59" s="188"/>
      <c r="H59" s="188"/>
      <c r="I59" s="188"/>
      <c r="J59" s="188"/>
      <c r="K59" s="188"/>
      <c r="L59" s="188"/>
      <c r="M59" s="189"/>
    </row>
    <row r="60" spans="1:13" x14ac:dyDescent="0.25">
      <c r="E60" s="124" t="s">
        <v>191</v>
      </c>
      <c r="F60" s="124" t="s">
        <v>192</v>
      </c>
      <c r="G60" s="124"/>
      <c r="H60" s="124"/>
      <c r="I60" s="124"/>
      <c r="J60" s="124"/>
      <c r="K60" s="124"/>
      <c r="L60" s="124"/>
    </row>
    <row r="61" spans="1:13" x14ac:dyDescent="0.25">
      <c r="A61" s="84" t="s">
        <v>115</v>
      </c>
      <c r="E61" s="89" t="s">
        <v>166</v>
      </c>
      <c r="F61" s="89" t="s">
        <v>166</v>
      </c>
      <c r="G61" s="125"/>
      <c r="H61" s="126"/>
      <c r="I61" s="125"/>
      <c r="J61" s="125"/>
      <c r="K61" s="125"/>
      <c r="L61" s="125"/>
    </row>
    <row r="62" spans="1:13" x14ac:dyDescent="0.25">
      <c r="A62" s="84" t="s">
        <v>116</v>
      </c>
      <c r="E62" s="89" t="s">
        <v>166</v>
      </c>
      <c r="F62" s="89" t="s">
        <v>166</v>
      </c>
      <c r="G62" s="125"/>
      <c r="H62" s="126"/>
      <c r="I62" s="125"/>
      <c r="J62" s="125"/>
      <c r="K62" s="125"/>
      <c r="L62" s="125"/>
    </row>
    <row r="63" spans="1:13" x14ac:dyDescent="0.25">
      <c r="A63" s="84" t="s">
        <v>117</v>
      </c>
      <c r="E63" s="89" t="s">
        <v>166</v>
      </c>
      <c r="F63" s="89" t="s">
        <v>166</v>
      </c>
      <c r="G63" s="125"/>
      <c r="H63" s="126"/>
      <c r="I63" s="125"/>
      <c r="J63" s="125"/>
      <c r="K63" s="125"/>
      <c r="L63" s="125"/>
    </row>
    <row r="64" spans="1:13" x14ac:dyDescent="0.25">
      <c r="A64" s="84" t="s">
        <v>118</v>
      </c>
      <c r="E64" s="89" t="s">
        <v>166</v>
      </c>
      <c r="F64" s="89" t="s">
        <v>166</v>
      </c>
      <c r="G64" s="125"/>
      <c r="H64" s="126"/>
      <c r="I64" s="125"/>
      <c r="J64" s="125"/>
      <c r="K64" s="125"/>
      <c r="L64" s="125"/>
    </row>
    <row r="65" spans="1:13" x14ac:dyDescent="0.25">
      <c r="A65" s="84" t="s">
        <v>193</v>
      </c>
      <c r="E65" s="89"/>
      <c r="F65" s="89"/>
      <c r="G65" s="125"/>
      <c r="H65" s="126"/>
      <c r="I65" s="125"/>
      <c r="J65" s="125"/>
      <c r="K65" s="125"/>
      <c r="L65" s="125"/>
    </row>
    <row r="66" spans="1:13" x14ac:dyDescent="0.25">
      <c r="A66" s="84" t="s">
        <v>194</v>
      </c>
      <c r="E66" s="89"/>
      <c r="F66" s="89"/>
      <c r="G66" s="125"/>
      <c r="H66" s="126"/>
      <c r="I66" s="125"/>
      <c r="J66" s="125"/>
      <c r="K66" s="125"/>
      <c r="L66" s="125"/>
    </row>
    <row r="67" spans="1:13" x14ac:dyDescent="0.25">
      <c r="A67" s="187" t="s">
        <v>195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9"/>
    </row>
    <row r="68" spans="1:13" x14ac:dyDescent="0.25">
      <c r="L68" s="89"/>
    </row>
    <row r="70" spans="1:13" x14ac:dyDescent="0.25">
      <c r="A70" s="75" t="s">
        <v>197</v>
      </c>
      <c r="E70" s="89">
        <v>9</v>
      </c>
      <c r="F70" s="89" t="s">
        <v>166</v>
      </c>
      <c r="G70" s="89" t="s">
        <v>166</v>
      </c>
      <c r="H70" s="89" t="s">
        <v>166</v>
      </c>
      <c r="I70" s="89" t="s">
        <v>166</v>
      </c>
      <c r="J70" s="89" t="s">
        <v>166</v>
      </c>
      <c r="K70" s="89" t="s">
        <v>166</v>
      </c>
      <c r="L70" s="89" t="s">
        <v>166</v>
      </c>
    </row>
    <row r="72" spans="1:13" x14ac:dyDescent="0.25">
      <c r="A72" s="75" t="s">
        <v>198</v>
      </c>
      <c r="E72" s="89" t="s">
        <v>166</v>
      </c>
      <c r="F72" s="89" t="s">
        <v>166</v>
      </c>
      <c r="G72" s="89" t="s">
        <v>166</v>
      </c>
      <c r="H72" s="89" t="s">
        <v>166</v>
      </c>
      <c r="I72" s="89" t="s">
        <v>166</v>
      </c>
      <c r="J72" s="89" t="s">
        <v>166</v>
      </c>
      <c r="K72" s="89" t="s">
        <v>166</v>
      </c>
      <c r="L72" s="89" t="s">
        <v>166</v>
      </c>
    </row>
    <row r="73" spans="1:13" x14ac:dyDescent="0.25">
      <c r="A73" s="75" t="s">
        <v>200</v>
      </c>
      <c r="E73" s="89" t="s">
        <v>166</v>
      </c>
      <c r="F73" s="89" t="s">
        <v>166</v>
      </c>
      <c r="G73" s="89" t="s">
        <v>166</v>
      </c>
      <c r="H73" s="89" t="s">
        <v>166</v>
      </c>
      <c r="I73" s="89" t="s">
        <v>166</v>
      </c>
      <c r="J73" s="89" t="s">
        <v>166</v>
      </c>
      <c r="K73" s="89" t="s">
        <v>166</v>
      </c>
      <c r="L73" s="89" t="s">
        <v>166</v>
      </c>
    </row>
    <row r="74" spans="1:13" x14ac:dyDescent="0.25">
      <c r="A74" s="75" t="s">
        <v>199</v>
      </c>
      <c r="E74" s="89" t="s">
        <v>166</v>
      </c>
      <c r="F74" s="89" t="s">
        <v>166</v>
      </c>
      <c r="G74" s="89" t="s">
        <v>166</v>
      </c>
      <c r="H74" s="89" t="s">
        <v>166</v>
      </c>
      <c r="I74" s="89" t="s">
        <v>166</v>
      </c>
      <c r="J74" s="89" t="s">
        <v>166</v>
      </c>
      <c r="K74" s="89" t="s">
        <v>166</v>
      </c>
      <c r="L74" s="89" t="s">
        <v>166</v>
      </c>
    </row>
    <row r="75" spans="1:13" x14ac:dyDescent="0.25">
      <c r="A75" s="75" t="s">
        <v>209</v>
      </c>
      <c r="E75" s="89" t="s">
        <v>166</v>
      </c>
      <c r="F75" s="89" t="s">
        <v>166</v>
      </c>
      <c r="G75" s="89" t="s">
        <v>166</v>
      </c>
      <c r="H75" s="89" t="s">
        <v>166</v>
      </c>
      <c r="I75" s="89" t="s">
        <v>166</v>
      </c>
      <c r="J75" s="89" t="s">
        <v>166</v>
      </c>
      <c r="K75" s="89" t="s">
        <v>166</v>
      </c>
      <c r="L75" s="89" t="s">
        <v>166</v>
      </c>
    </row>
    <row r="76" spans="1:13" x14ac:dyDescent="0.25">
      <c r="A76" s="75" t="s">
        <v>210</v>
      </c>
      <c r="E76" s="89" t="s">
        <v>166</v>
      </c>
      <c r="F76" s="89" t="s">
        <v>166</v>
      </c>
      <c r="G76" s="89" t="s">
        <v>166</v>
      </c>
      <c r="H76" s="89" t="s">
        <v>166</v>
      </c>
      <c r="I76" s="89" t="s">
        <v>166</v>
      </c>
      <c r="J76" s="89" t="s">
        <v>166</v>
      </c>
      <c r="K76" s="89" t="s">
        <v>166</v>
      </c>
      <c r="L76" s="89" t="s">
        <v>166</v>
      </c>
    </row>
    <row r="78" spans="1:13" x14ac:dyDescent="0.25">
      <c r="A78" s="75" t="s">
        <v>201</v>
      </c>
      <c r="E78" s="89" t="s">
        <v>166</v>
      </c>
      <c r="F78" s="89" t="s">
        <v>166</v>
      </c>
      <c r="G78" s="89" t="s">
        <v>166</v>
      </c>
      <c r="H78" s="89" t="s">
        <v>166</v>
      </c>
      <c r="I78" s="89" t="s">
        <v>166</v>
      </c>
      <c r="J78" s="89" t="s">
        <v>166</v>
      </c>
      <c r="K78" s="89" t="s">
        <v>166</v>
      </c>
      <c r="L78" s="89" t="s">
        <v>166</v>
      </c>
    </row>
    <row r="79" spans="1:13" x14ac:dyDescent="0.25">
      <c r="A79" s="75" t="s">
        <v>202</v>
      </c>
      <c r="E79" s="89" t="s">
        <v>166</v>
      </c>
      <c r="F79" s="89" t="s">
        <v>166</v>
      </c>
      <c r="G79" s="89" t="s">
        <v>166</v>
      </c>
      <c r="H79" s="89" t="s">
        <v>166</v>
      </c>
      <c r="I79" s="89" t="s">
        <v>166</v>
      </c>
      <c r="J79" s="89" t="s">
        <v>166</v>
      </c>
      <c r="K79" s="89" t="s">
        <v>166</v>
      </c>
      <c r="L79" s="89" t="s">
        <v>166</v>
      </c>
    </row>
    <row r="80" spans="1:13" x14ac:dyDescent="0.25">
      <c r="A80" s="75" t="s">
        <v>203</v>
      </c>
      <c r="E80" s="89" t="s">
        <v>166</v>
      </c>
      <c r="F80" s="89" t="s">
        <v>166</v>
      </c>
      <c r="G80" s="89" t="s">
        <v>166</v>
      </c>
      <c r="H80" s="89" t="s">
        <v>166</v>
      </c>
      <c r="I80" s="89" t="s">
        <v>166</v>
      </c>
      <c r="J80" s="89" t="s">
        <v>166</v>
      </c>
      <c r="K80" s="89" t="s">
        <v>166</v>
      </c>
      <c r="L80" s="89" t="s">
        <v>166</v>
      </c>
    </row>
    <row r="82" spans="1:12" x14ac:dyDescent="0.25">
      <c r="A82" s="75" t="s">
        <v>204</v>
      </c>
      <c r="E82" s="89" t="s">
        <v>166</v>
      </c>
      <c r="F82" s="89" t="s">
        <v>166</v>
      </c>
      <c r="G82" s="89" t="s">
        <v>166</v>
      </c>
      <c r="H82" s="89" t="s">
        <v>166</v>
      </c>
      <c r="I82" s="89" t="s">
        <v>166</v>
      </c>
      <c r="J82" s="89" t="s">
        <v>166</v>
      </c>
      <c r="K82" s="89" t="s">
        <v>166</v>
      </c>
      <c r="L82" s="89" t="s">
        <v>166</v>
      </c>
    </row>
    <row r="83" spans="1:12" x14ac:dyDescent="0.25">
      <c r="A83" s="75" t="s">
        <v>205</v>
      </c>
      <c r="E83" s="89" t="s">
        <v>166</v>
      </c>
      <c r="F83" s="89" t="s">
        <v>166</v>
      </c>
      <c r="G83" s="89" t="s">
        <v>166</v>
      </c>
      <c r="H83" s="89" t="s">
        <v>166</v>
      </c>
      <c r="I83" s="89" t="s">
        <v>166</v>
      </c>
      <c r="J83" s="89" t="s">
        <v>166</v>
      </c>
      <c r="K83" s="89" t="s">
        <v>166</v>
      </c>
      <c r="L83" s="89" t="s">
        <v>166</v>
      </c>
    </row>
    <row r="84" spans="1:12" x14ac:dyDescent="0.25">
      <c r="A84" s="75" t="s">
        <v>206</v>
      </c>
      <c r="E84" s="89" t="s">
        <v>166</v>
      </c>
      <c r="F84" s="89" t="s">
        <v>166</v>
      </c>
      <c r="G84" s="89" t="s">
        <v>166</v>
      </c>
      <c r="H84" s="89" t="s">
        <v>166</v>
      </c>
      <c r="I84" s="89" t="s">
        <v>166</v>
      </c>
      <c r="J84" s="89" t="s">
        <v>166</v>
      </c>
      <c r="K84" s="89" t="s">
        <v>166</v>
      </c>
      <c r="L84" s="89" t="s">
        <v>166</v>
      </c>
    </row>
    <row r="85" spans="1:12" x14ac:dyDescent="0.25">
      <c r="A85" s="75" t="s">
        <v>211</v>
      </c>
      <c r="E85" s="89" t="s">
        <v>166</v>
      </c>
      <c r="F85" s="89" t="s">
        <v>166</v>
      </c>
      <c r="G85" s="89" t="s">
        <v>166</v>
      </c>
      <c r="H85" s="89" t="s">
        <v>166</v>
      </c>
      <c r="I85" s="89" t="s">
        <v>166</v>
      </c>
      <c r="J85" s="89" t="s">
        <v>166</v>
      </c>
      <c r="K85" s="89" t="s">
        <v>166</v>
      </c>
      <c r="L85" s="89" t="s">
        <v>166</v>
      </c>
    </row>
    <row r="86" spans="1:12" x14ac:dyDescent="0.25">
      <c r="A86" s="75" t="s">
        <v>213</v>
      </c>
      <c r="E86" s="89" t="s">
        <v>166</v>
      </c>
      <c r="F86" s="89" t="s">
        <v>166</v>
      </c>
      <c r="G86" s="89" t="s">
        <v>166</v>
      </c>
      <c r="H86" s="89" t="s">
        <v>166</v>
      </c>
      <c r="I86" s="89" t="s">
        <v>166</v>
      </c>
      <c r="J86" s="89" t="s">
        <v>166</v>
      </c>
      <c r="K86" s="89" t="s">
        <v>166</v>
      </c>
      <c r="L86" s="89" t="s">
        <v>166</v>
      </c>
    </row>
    <row r="87" spans="1:12" x14ac:dyDescent="0.25">
      <c r="A87" s="75" t="s">
        <v>212</v>
      </c>
      <c r="E87" s="89" t="s">
        <v>166</v>
      </c>
      <c r="F87" s="89" t="s">
        <v>166</v>
      </c>
      <c r="G87" s="89" t="s">
        <v>166</v>
      </c>
      <c r="H87" s="89" t="s">
        <v>166</v>
      </c>
      <c r="I87" s="89" t="s">
        <v>166</v>
      </c>
      <c r="J87" s="89" t="s">
        <v>166</v>
      </c>
      <c r="K87" s="89" t="s">
        <v>166</v>
      </c>
      <c r="L87" s="89" t="s">
        <v>166</v>
      </c>
    </row>
    <row r="89" spans="1:12" x14ac:dyDescent="0.25">
      <c r="A89" s="75" t="s">
        <v>207</v>
      </c>
      <c r="E89" s="89" t="s">
        <v>166</v>
      </c>
      <c r="F89" s="89" t="s">
        <v>166</v>
      </c>
      <c r="G89" s="89" t="s">
        <v>166</v>
      </c>
      <c r="H89" s="89" t="s">
        <v>166</v>
      </c>
      <c r="I89" s="89" t="s">
        <v>166</v>
      </c>
      <c r="J89" s="89" t="s">
        <v>166</v>
      </c>
      <c r="K89" s="89" t="s">
        <v>166</v>
      </c>
      <c r="L89" s="89" t="s">
        <v>166</v>
      </c>
    </row>
    <row r="90" spans="1:12" x14ac:dyDescent="0.25">
      <c r="A90" s="75" t="s">
        <v>208</v>
      </c>
      <c r="E90" s="89" t="s">
        <v>166</v>
      </c>
      <c r="F90" s="89" t="s">
        <v>166</v>
      </c>
      <c r="G90" s="89" t="s">
        <v>166</v>
      </c>
      <c r="H90" s="89" t="s">
        <v>166</v>
      </c>
      <c r="I90" s="89" t="s">
        <v>166</v>
      </c>
      <c r="J90" s="89" t="s">
        <v>166</v>
      </c>
      <c r="K90" s="89" t="s">
        <v>166</v>
      </c>
      <c r="L90" s="89" t="s">
        <v>166</v>
      </c>
    </row>
  </sheetData>
  <sheetProtection selectLockedCells="1"/>
  <mergeCells count="8">
    <mergeCell ref="A67:M67"/>
    <mergeCell ref="D6:M6"/>
    <mergeCell ref="A15:M15"/>
    <mergeCell ref="A26:M26"/>
    <mergeCell ref="A34:M34"/>
    <mergeCell ref="A36:M36"/>
    <mergeCell ref="A52:M52"/>
    <mergeCell ref="A59:M59"/>
  </mergeCells>
  <dataValidations count="2">
    <dataValidation type="list" allowBlank="1" showInputMessage="1" showErrorMessage="1" sqref="C3">
      <formula1>"2008, 2013v1"</formula1>
    </dataValidation>
    <dataValidation type="list" allowBlank="1" showInputMessage="1" showErrorMessage="1" sqref="C2">
      <formula1>"CalCERTS, CHEERS"</formula1>
    </dataValidation>
  </dataValidations>
  <printOptions horizontalCentered="1"/>
  <pageMargins left="0.25" right="0.25" top="0.5" bottom="0.25" header="0.15" footer="0.25"/>
  <pageSetup scale="56" orientation="portrait" r:id="rId1"/>
  <headerFooter>
    <oddHeader>&amp;L&amp;"Arial Black,Regular"&amp;14Title-24 Compliance Summary - &amp;A&amp;R&amp;G</oddHeader>
    <oddFooter>&amp;C&amp;"Arial,Bold"&amp;8"QUALITY ENERGY CONSULTING WITH THE TESTING TO PROVE IT"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H10"/>
  <sheetViews>
    <sheetView workbookViewId="0">
      <selection activeCell="D7" sqref="D7"/>
    </sheetView>
  </sheetViews>
  <sheetFormatPr defaultRowHeight="15" x14ac:dyDescent="0.25"/>
  <cols>
    <col min="1" max="1" width="16" bestFit="1" customWidth="1"/>
    <col min="2" max="2" width="30.28515625" customWidth="1"/>
    <col min="4" max="4" width="26.85546875" customWidth="1"/>
    <col min="5" max="5" width="16.140625" customWidth="1"/>
    <col min="6" max="6" width="18.5703125" customWidth="1"/>
    <col min="7" max="7" width="16.140625" customWidth="1"/>
    <col min="8" max="8" width="22.42578125" customWidth="1"/>
  </cols>
  <sheetData>
    <row r="1" spans="1:8" x14ac:dyDescent="0.25">
      <c r="A1" s="1" t="s">
        <v>24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</row>
    <row r="2" spans="1:8" x14ac:dyDescent="0.25">
      <c r="A2" s="75" t="s">
        <v>13</v>
      </c>
      <c r="D2" s="75" t="s">
        <v>259</v>
      </c>
      <c r="G2" s="75"/>
      <c r="H2" s="76" t="s">
        <v>258</v>
      </c>
    </row>
    <row r="3" spans="1:8" x14ac:dyDescent="0.25">
      <c r="A3" t="s">
        <v>15</v>
      </c>
      <c r="D3" s="75" t="s">
        <v>260</v>
      </c>
      <c r="G3" s="75"/>
      <c r="H3" s="76" t="s">
        <v>258</v>
      </c>
    </row>
    <row r="4" spans="1:8" x14ac:dyDescent="0.25">
      <c r="A4" t="s">
        <v>14</v>
      </c>
      <c r="D4" s="75" t="s">
        <v>261</v>
      </c>
      <c r="G4" s="75"/>
      <c r="H4" s="76" t="s">
        <v>258</v>
      </c>
    </row>
    <row r="5" spans="1:8" x14ac:dyDescent="0.25">
      <c r="A5" t="s">
        <v>20</v>
      </c>
      <c r="D5" s="75" t="s">
        <v>257</v>
      </c>
      <c r="H5" s="76" t="s">
        <v>258</v>
      </c>
    </row>
    <row r="6" spans="1:8" x14ac:dyDescent="0.25">
      <c r="A6" s="75" t="s">
        <v>157</v>
      </c>
      <c r="D6" s="75" t="s">
        <v>262</v>
      </c>
      <c r="G6" s="75"/>
      <c r="H6" s="76" t="s">
        <v>258</v>
      </c>
    </row>
    <row r="7" spans="1:8" x14ac:dyDescent="0.25">
      <c r="A7" s="75" t="s">
        <v>268</v>
      </c>
      <c r="D7" s="75" t="s">
        <v>267</v>
      </c>
      <c r="H7" s="76" t="s">
        <v>258</v>
      </c>
    </row>
    <row r="8" spans="1:8" s="75" customFormat="1" x14ac:dyDescent="0.25">
      <c r="A8" s="75" t="s">
        <v>273</v>
      </c>
      <c r="D8" s="75" t="s">
        <v>274</v>
      </c>
      <c r="H8" s="76" t="s">
        <v>258</v>
      </c>
    </row>
    <row r="9" spans="1:8" x14ac:dyDescent="0.25">
      <c r="A9" s="2"/>
      <c r="B9" s="2"/>
      <c r="C9" s="2"/>
      <c r="D9" s="2"/>
      <c r="E9" s="2"/>
      <c r="F9" s="2"/>
      <c r="G9" s="2"/>
      <c r="H9" s="2"/>
    </row>
    <row r="10" spans="1:8" x14ac:dyDescent="0.25">
      <c r="A10" s="3" t="s">
        <v>32</v>
      </c>
      <c r="B10" s="75"/>
      <c r="D10" s="153" t="s">
        <v>263</v>
      </c>
      <c r="F10" s="75" t="s">
        <v>265</v>
      </c>
      <c r="G10" s="75"/>
      <c r="H10" s="76" t="s">
        <v>258</v>
      </c>
    </row>
  </sheetData>
  <dataValidations count="1">
    <dataValidation type="list" allowBlank="1" showInputMessage="1" showErrorMessage="1" sqref="A2:A31">
      <formula1>"Insulation,ENV20, Windows, Plumbing, HVAC, HVAC MECH 01, Solar, Superintendent"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E26"/>
  <sheetViews>
    <sheetView zoomScale="90" zoomScaleNormal="90" workbookViewId="0">
      <pane ySplit="4" topLeftCell="A5" activePane="bottomLeft" state="frozen"/>
      <selection pane="bottomLeft" activeCell="E38" sqref="E38"/>
    </sheetView>
  </sheetViews>
  <sheetFormatPr defaultColWidth="9.140625" defaultRowHeight="15" x14ac:dyDescent="0.25"/>
  <cols>
    <col min="1" max="1" width="13.85546875" style="43" bestFit="1" customWidth="1"/>
    <col min="2" max="2" width="8.7109375" style="48" bestFit="1" customWidth="1"/>
    <col min="3" max="3" width="21.5703125" style="48" bestFit="1" customWidth="1"/>
    <col min="4" max="4" width="6.7109375" style="43" customWidth="1"/>
    <col min="5" max="5" width="6.42578125" style="43" customWidth="1"/>
    <col min="6" max="6" width="13" style="43" customWidth="1"/>
    <col min="7" max="7" width="13.28515625" style="43" bestFit="1" customWidth="1"/>
    <col min="8" max="8" width="13" style="49" customWidth="1"/>
    <col min="9" max="9" width="7.5703125" style="43" customWidth="1"/>
    <col min="10" max="10" width="7.85546875" style="43" bestFit="1" customWidth="1"/>
    <col min="11" max="11" width="7" style="43" bestFit="1" customWidth="1"/>
    <col min="12" max="12" width="9.28515625" style="45" hidden="1" customWidth="1"/>
    <col min="13" max="14" width="9.28515625" style="43" hidden="1" customWidth="1"/>
    <col min="15" max="15" width="9.28515625" style="45" hidden="1" customWidth="1"/>
    <col min="16" max="18" width="9.28515625" style="43" hidden="1" customWidth="1"/>
    <col min="19" max="19" width="8.7109375" style="43" hidden="1" customWidth="1"/>
    <col min="20" max="21" width="7.140625" style="43" hidden="1" customWidth="1"/>
    <col min="22" max="22" width="7.5703125" style="43" hidden="1" customWidth="1"/>
    <col min="23" max="24" width="9.42578125" style="43" hidden="1" customWidth="1"/>
    <col min="25" max="25" width="7.140625" style="43" hidden="1" customWidth="1"/>
    <col min="26" max="31" width="8.5703125" style="43" hidden="1" customWidth="1"/>
    <col min="32" max="16384" width="9.140625" style="43"/>
  </cols>
  <sheetData>
    <row r="1" spans="1:31" s="35" customFormat="1" ht="15.75" x14ac:dyDescent="0.25">
      <c r="A1" s="196" t="s">
        <v>66</v>
      </c>
      <c r="B1" s="196"/>
      <c r="C1" s="196"/>
      <c r="D1" s="196"/>
      <c r="E1" s="196"/>
      <c r="F1" s="196"/>
      <c r="G1" s="196"/>
      <c r="H1" s="196"/>
      <c r="I1" s="197"/>
      <c r="J1" s="32"/>
      <c r="K1" s="32"/>
      <c r="L1" s="198" t="s">
        <v>59</v>
      </c>
      <c r="M1" s="196"/>
      <c r="N1" s="197"/>
      <c r="O1" s="198" t="s">
        <v>9</v>
      </c>
      <c r="P1" s="196"/>
      <c r="Q1" s="197"/>
      <c r="R1" s="33" t="s">
        <v>60</v>
      </c>
      <c r="S1" s="33"/>
      <c r="T1" s="199" t="s">
        <v>61</v>
      </c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34"/>
    </row>
    <row r="2" spans="1:31" x14ac:dyDescent="0.25">
      <c r="A2" s="36"/>
      <c r="B2" s="50"/>
      <c r="C2" s="50"/>
      <c r="D2" s="36"/>
      <c r="E2" s="36"/>
      <c r="F2" s="36"/>
      <c r="G2" s="36"/>
      <c r="H2" s="37"/>
      <c r="I2" s="38"/>
      <c r="J2" s="39"/>
      <c r="K2" s="39"/>
      <c r="L2" s="40" t="s">
        <v>4</v>
      </c>
      <c r="M2" s="36" t="s">
        <v>6</v>
      </c>
      <c r="N2" s="38"/>
      <c r="O2" s="40" t="s">
        <v>4</v>
      </c>
      <c r="P2" s="36" t="s">
        <v>6</v>
      </c>
      <c r="Q2" s="41"/>
      <c r="R2" s="42" t="s">
        <v>42</v>
      </c>
      <c r="S2" s="39" t="s">
        <v>22</v>
      </c>
      <c r="T2" s="200" t="s">
        <v>13</v>
      </c>
      <c r="U2" s="200"/>
      <c r="V2" s="200"/>
      <c r="W2" s="1" t="s">
        <v>14</v>
      </c>
      <c r="X2" s="1" t="s">
        <v>15</v>
      </c>
      <c r="Y2" s="39"/>
      <c r="Z2" s="201" t="s">
        <v>20</v>
      </c>
      <c r="AA2" s="201"/>
      <c r="AB2" s="201"/>
      <c r="AC2" s="201"/>
      <c r="AD2" s="201"/>
      <c r="AE2" s="1"/>
    </row>
    <row r="3" spans="1:31" x14ac:dyDescent="0.25">
      <c r="A3" s="36" t="s">
        <v>73</v>
      </c>
      <c r="B3" s="50" t="s">
        <v>67</v>
      </c>
      <c r="C3" s="50" t="s">
        <v>0</v>
      </c>
      <c r="D3" s="36" t="s">
        <v>68</v>
      </c>
      <c r="E3" s="36" t="s">
        <v>2</v>
      </c>
      <c r="F3" s="36" t="s">
        <v>69</v>
      </c>
      <c r="G3" s="36" t="s">
        <v>70</v>
      </c>
      <c r="H3" s="37" t="s">
        <v>71</v>
      </c>
      <c r="I3" s="38" t="s">
        <v>72</v>
      </c>
      <c r="J3" s="39"/>
      <c r="K3" s="39"/>
      <c r="L3" s="40" t="s">
        <v>5</v>
      </c>
      <c r="M3" s="36" t="s">
        <v>7</v>
      </c>
      <c r="N3" s="38" t="s">
        <v>62</v>
      </c>
      <c r="O3" s="40" t="s">
        <v>5</v>
      </c>
      <c r="P3" s="36" t="s">
        <v>7</v>
      </c>
      <c r="Q3" s="38" t="s">
        <v>62</v>
      </c>
      <c r="R3" s="36" t="s">
        <v>43</v>
      </c>
      <c r="S3" s="39" t="s">
        <v>5</v>
      </c>
      <c r="T3" s="39" t="s">
        <v>63</v>
      </c>
      <c r="U3" s="39" t="s">
        <v>11</v>
      </c>
      <c r="V3" s="39" t="s">
        <v>12</v>
      </c>
      <c r="W3" s="39" t="s">
        <v>64</v>
      </c>
      <c r="X3" s="39" t="s">
        <v>63</v>
      </c>
      <c r="Y3" s="39" t="s">
        <v>21</v>
      </c>
      <c r="Z3" s="39" t="s">
        <v>65</v>
      </c>
      <c r="AA3" s="39" t="s">
        <v>16</v>
      </c>
      <c r="AB3" s="39" t="s">
        <v>40</v>
      </c>
      <c r="AC3" s="39" t="s">
        <v>17</v>
      </c>
      <c r="AD3" s="39" t="s">
        <v>18</v>
      </c>
      <c r="AE3" s="39" t="s">
        <v>19</v>
      </c>
    </row>
    <row r="4" spans="1:31" x14ac:dyDescent="0.25">
      <c r="A4" s="36"/>
      <c r="B4" s="50"/>
      <c r="C4" s="51"/>
      <c r="D4" s="36"/>
      <c r="E4" s="36"/>
      <c r="F4" s="36"/>
      <c r="G4" s="36"/>
      <c r="H4" s="37"/>
      <c r="I4" s="38"/>
      <c r="J4" s="39"/>
      <c r="K4" s="39"/>
      <c r="L4" s="40"/>
      <c r="M4" s="36"/>
      <c r="N4" s="38"/>
      <c r="O4" s="40"/>
      <c r="P4" s="36"/>
      <c r="Q4" s="38"/>
      <c r="R4" s="36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</row>
    <row r="6" spans="1:31" x14ac:dyDescent="0.25">
      <c r="H6" s="44"/>
    </row>
    <row r="7" spans="1:31" x14ac:dyDescent="0.25">
      <c r="H7" s="44"/>
    </row>
    <row r="8" spans="1:31" x14ac:dyDescent="0.25">
      <c r="H8" s="44"/>
    </row>
    <row r="9" spans="1:31" x14ac:dyDescent="0.25">
      <c r="D9" s="46"/>
      <c r="E9" s="46"/>
      <c r="F9" s="46"/>
      <c r="G9" s="46"/>
      <c r="H9" s="47"/>
      <c r="I9" s="46"/>
    </row>
    <row r="10" spans="1:31" x14ac:dyDescent="0.25">
      <c r="H10" s="44"/>
    </row>
    <row r="11" spans="1:31" x14ac:dyDescent="0.25">
      <c r="H11" s="44"/>
    </row>
    <row r="12" spans="1:31" x14ac:dyDescent="0.25">
      <c r="D12" s="46"/>
      <c r="E12" s="46"/>
      <c r="F12" s="46"/>
      <c r="G12" s="46"/>
      <c r="H12" s="47"/>
      <c r="I12" s="46"/>
      <c r="N12" s="48"/>
    </row>
    <row r="13" spans="1:31" x14ac:dyDescent="0.25">
      <c r="H13" s="44"/>
      <c r="N13" s="48"/>
    </row>
    <row r="14" spans="1:31" x14ac:dyDescent="0.25">
      <c r="H14" s="44"/>
      <c r="N14" s="48"/>
    </row>
    <row r="15" spans="1:31" x14ac:dyDescent="0.25">
      <c r="H15" s="44"/>
      <c r="N15" s="48"/>
    </row>
    <row r="16" spans="1:31" x14ac:dyDescent="0.25">
      <c r="H16" s="44"/>
      <c r="N16" s="48"/>
    </row>
    <row r="17" spans="8:14" x14ac:dyDescent="0.25">
      <c r="H17" s="44"/>
      <c r="N17" s="48"/>
    </row>
    <row r="18" spans="8:14" x14ac:dyDescent="0.25">
      <c r="H18" s="44"/>
    </row>
    <row r="19" spans="8:14" x14ac:dyDescent="0.25">
      <c r="H19" s="44"/>
    </row>
    <row r="20" spans="8:14" x14ac:dyDescent="0.25">
      <c r="H20" s="44"/>
    </row>
    <row r="21" spans="8:14" x14ac:dyDescent="0.25">
      <c r="H21" s="44"/>
    </row>
    <row r="22" spans="8:14" x14ac:dyDescent="0.25">
      <c r="H22" s="44"/>
    </row>
    <row r="23" spans="8:14" x14ac:dyDescent="0.25">
      <c r="H23" s="44"/>
    </row>
    <row r="24" spans="8:14" x14ac:dyDescent="0.25">
      <c r="H24" s="44"/>
    </row>
    <row r="25" spans="8:14" x14ac:dyDescent="0.25">
      <c r="H25" s="44"/>
    </row>
    <row r="26" spans="8:14" x14ac:dyDescent="0.25">
      <c r="H26" s="44"/>
    </row>
  </sheetData>
  <autoFilter ref="A4:AE26">
    <sortState ref="A5:AK27">
      <sortCondition ref="B4"/>
    </sortState>
  </autoFilter>
  <mergeCells count="6">
    <mergeCell ref="A1:I1"/>
    <mergeCell ref="L1:N1"/>
    <mergeCell ref="O1:Q1"/>
    <mergeCell ref="T1:AD1"/>
    <mergeCell ref="T2:V2"/>
    <mergeCell ref="Z2:AD2"/>
  </mergeCells>
  <conditionalFormatting sqref="C7 O6:AE6 A6:H6 J6:M6 I7 O14:AE15 J14:M15 I15:I16 C16:C17 G12:G15 A14:F15 H14:H15 G7:G8 G23:G24 F9 F12 H9 H12 A7:A13 A16:A26">
    <cfRule type="expression" dxfId="27" priority="9">
      <formula>$K$6= "Tested"</formula>
    </cfRule>
    <cfRule type="expression" dxfId="26" priority="10">
      <formula>$K$6= "Model"</formula>
    </cfRule>
  </conditionalFormatting>
  <conditionalFormatting sqref="Q3:R3 S2:S3 Q1:AE1 N5 A1:P3 N8:N21 O5:AE21 J5:M21 J22:AE29 I30:AE1048576 A5:H1048576">
    <cfRule type="expression" dxfId="25" priority="7">
      <formula>$K1="tested"</formula>
    </cfRule>
    <cfRule type="expression" dxfId="24" priority="8">
      <formula>$K1="Model"</formula>
    </cfRule>
  </conditionalFormatting>
  <conditionalFormatting sqref="T3:AE4 I6:I28">
    <cfRule type="expression" dxfId="23" priority="5">
      <formula>$K2="tested"</formula>
    </cfRule>
    <cfRule type="expression" dxfId="22" priority="6">
      <formula>$K2="Model"</formula>
    </cfRule>
  </conditionalFormatting>
  <conditionalFormatting sqref="Q2:R2 T2:AE2">
    <cfRule type="expression" dxfId="21" priority="3">
      <formula>#REF!="tested"</formula>
    </cfRule>
    <cfRule type="expression" dxfId="20" priority="4">
      <formula>#REF!="Model"</formula>
    </cfRule>
  </conditionalFormatting>
  <conditionalFormatting sqref="I29">
    <cfRule type="expression" dxfId="19" priority="1">
      <formula>$K27="tested"</formula>
    </cfRule>
    <cfRule type="expression" dxfId="18" priority="2">
      <formula>$K27="Model"</formula>
    </cfRule>
  </conditionalFormatting>
  <dataValidations count="5">
    <dataValidation type="list" allowBlank="1" showInputMessage="1" showErrorMessage="1" sqref="M1:M1048576">
      <formula1>"Tested, Sampled, Pending"</formula1>
    </dataValidation>
    <dataValidation type="list" allowBlank="1" showInputMessage="1" showErrorMessage="1" sqref="J1:J1048576">
      <formula1>"0,1, 2, 3, 4, 5, 6, 7, 8, 9, 10, 11, 12, 13"</formula1>
    </dataValidation>
    <dataValidation type="list" allowBlank="1" showInputMessage="1" showErrorMessage="1" sqref="K5:K36">
      <formula1>"Model, Tested, Sampled"</formula1>
    </dataValidation>
    <dataValidation type="list" allowBlank="1" showInputMessage="1" showErrorMessage="1" sqref="P5:P204">
      <formula1>"Tested, Sampled"</formula1>
    </dataValidation>
    <dataValidation type="list" allowBlank="1" showInputMessage="1" showErrorMessage="1" sqref="Y5 Z5:AE36 T5:X36">
      <formula1>"X"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F23"/>
  <sheetViews>
    <sheetView workbookViewId="0">
      <selection activeCell="B25" sqref="B25"/>
    </sheetView>
  </sheetViews>
  <sheetFormatPr defaultRowHeight="15" x14ac:dyDescent="0.25"/>
  <cols>
    <col min="2" max="2" width="70.7109375" bestFit="1" customWidth="1"/>
  </cols>
  <sheetData>
    <row r="1" spans="1:6" x14ac:dyDescent="0.25">
      <c r="A1" s="54" t="s">
        <v>75</v>
      </c>
      <c r="B1" s="54"/>
      <c r="C1" s="54"/>
      <c r="D1" s="54"/>
      <c r="E1" s="54"/>
      <c r="F1" s="54"/>
    </row>
    <row r="3" spans="1:6" x14ac:dyDescent="0.25">
      <c r="A3" s="61"/>
      <c r="B3" t="s">
        <v>76</v>
      </c>
    </row>
    <row r="5" spans="1:6" x14ac:dyDescent="0.25">
      <c r="A5" s="55"/>
      <c r="B5" t="s">
        <v>77</v>
      </c>
    </row>
    <row r="6" spans="1:6" x14ac:dyDescent="0.25">
      <c r="A6" s="56"/>
    </row>
    <row r="7" spans="1:6" x14ac:dyDescent="0.25">
      <c r="A7" s="57"/>
      <c r="B7" t="s">
        <v>78</v>
      </c>
    </row>
    <row r="9" spans="1:6" x14ac:dyDescent="0.25">
      <c r="A9" s="54" t="s">
        <v>79</v>
      </c>
      <c r="B9" s="54"/>
      <c r="C9" s="54"/>
      <c r="D9" s="54"/>
      <c r="E9" s="54"/>
    </row>
    <row r="11" spans="1:6" x14ac:dyDescent="0.25">
      <c r="A11" s="58"/>
      <c r="B11" t="s">
        <v>80</v>
      </c>
    </row>
    <row r="13" spans="1:6" x14ac:dyDescent="0.25">
      <c r="A13" s="59"/>
      <c r="B13" t="s">
        <v>81</v>
      </c>
    </row>
    <row r="15" spans="1:6" x14ac:dyDescent="0.25">
      <c r="A15" s="57"/>
      <c r="B15" t="s">
        <v>82</v>
      </c>
    </row>
    <row r="17" spans="1:2" x14ac:dyDescent="0.25">
      <c r="A17" s="60"/>
      <c r="B17" t="s">
        <v>83</v>
      </c>
    </row>
    <row r="19" spans="1:2" s="54" customFormat="1" x14ac:dyDescent="0.25">
      <c r="A19" s="54" t="s">
        <v>84</v>
      </c>
    </row>
    <row r="21" spans="1:2" x14ac:dyDescent="0.25">
      <c r="A21" s="62"/>
      <c r="B21" t="s">
        <v>85</v>
      </c>
    </row>
    <row r="23" spans="1:2" x14ac:dyDescent="0.25">
      <c r="A23" s="63"/>
      <c r="B23" t="s">
        <v>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6"/>
  <sheetViews>
    <sheetView workbookViewId="0">
      <selection activeCell="A2" sqref="A2"/>
    </sheetView>
  </sheetViews>
  <sheetFormatPr defaultRowHeight="15" x14ac:dyDescent="0.25"/>
  <cols>
    <col min="1" max="1" width="16.85546875" style="75" customWidth="1"/>
    <col min="2" max="2" width="18.85546875" style="75" customWidth="1"/>
    <col min="3" max="3" width="19.7109375" style="75" customWidth="1"/>
    <col min="4" max="4" width="19" style="75" customWidth="1"/>
    <col min="5" max="5" width="17.85546875" style="75" customWidth="1"/>
    <col min="6" max="6" width="18.7109375" style="75" customWidth="1"/>
    <col min="7" max="7" width="18" style="75" customWidth="1"/>
    <col min="8" max="8" width="16.85546875" style="75" customWidth="1"/>
    <col min="9" max="9" width="17.7109375" style="75" customWidth="1"/>
    <col min="10" max="10" width="17" style="75" customWidth="1"/>
    <col min="11" max="11" width="14.42578125" style="75" customWidth="1"/>
    <col min="12" max="12" width="15.28515625" style="75" customWidth="1"/>
    <col min="13" max="13" width="14.5703125" style="75" customWidth="1"/>
    <col min="14" max="14" width="18.42578125" style="75" customWidth="1"/>
    <col min="15" max="15" width="19.28515625" style="75" customWidth="1"/>
    <col min="16" max="16" width="18.5703125" style="75" customWidth="1"/>
    <col min="17" max="16384" width="9.140625" style="75"/>
  </cols>
  <sheetData>
    <row r="1" spans="1:16" x14ac:dyDescent="0.25">
      <c r="A1" s="49" t="s">
        <v>214</v>
      </c>
      <c r="B1" s="49" t="s">
        <v>215</v>
      </c>
      <c r="C1" s="49" t="s">
        <v>216</v>
      </c>
      <c r="D1" s="49" t="s">
        <v>217</v>
      </c>
      <c r="E1" s="49" t="s">
        <v>218</v>
      </c>
      <c r="F1" s="49" t="s">
        <v>219</v>
      </c>
      <c r="G1" s="49" t="s">
        <v>220</v>
      </c>
      <c r="H1" s="49" t="s">
        <v>221</v>
      </c>
      <c r="I1" s="49" t="s">
        <v>222</v>
      </c>
      <c r="J1" s="49" t="s">
        <v>223</v>
      </c>
      <c r="K1" s="49" t="s">
        <v>224</v>
      </c>
      <c r="L1" s="49" t="s">
        <v>225</v>
      </c>
      <c r="M1" s="49" t="s">
        <v>226</v>
      </c>
      <c r="N1" s="49" t="s">
        <v>227</v>
      </c>
      <c r="O1" s="49" t="s">
        <v>228</v>
      </c>
      <c r="P1" s="49" t="s">
        <v>229</v>
      </c>
    </row>
    <row r="2" spans="1:16" x14ac:dyDescent="0.25">
      <c r="A2" s="129" t="str">
        <f>'[1]Rater Equipment List'!A2</f>
        <v>Tony Souza</v>
      </c>
      <c r="B2" s="129" t="str">
        <f>'[1]Rater Equipment List'!B2</f>
        <v>Energy Conservatory</v>
      </c>
      <c r="C2" s="129" t="str">
        <f>'[1]Rater Equipment List'!C2</f>
        <v xml:space="preserve">DG700 </v>
      </c>
      <c r="D2" s="129" t="str">
        <f>'[1]Rater Equipment List'!D2</f>
        <v>28270-7-700</v>
      </c>
      <c r="E2" s="129" t="str">
        <f>'[1]Rater Equipment List'!E2</f>
        <v>Accubalance</v>
      </c>
      <c r="F2" s="129">
        <f>'[1]Rater Equipment List'!F2</f>
        <v>8371</v>
      </c>
      <c r="G2" s="129">
        <f>'[1]Rater Equipment List'!G2</f>
        <v>71215590</v>
      </c>
      <c r="H2" s="129" t="str">
        <f>'[1]Rater Equipment List'!H2</f>
        <v>Energy Conservatory</v>
      </c>
      <c r="I2" s="129" t="str">
        <f>'[1]Rater Equipment List'!I2</f>
        <v>TruFlo</v>
      </c>
      <c r="J2" s="129" t="str">
        <f>'[1]Rater Equipment List'!J2</f>
        <v>14-1625</v>
      </c>
      <c r="K2" s="129" t="str">
        <f>'[1]Rater Equipment List'!K2</f>
        <v>Energy Conservatory</v>
      </c>
      <c r="L2" s="129" t="str">
        <f>'[1]Rater Equipment List'!L2</f>
        <v>BD3</v>
      </c>
      <c r="M2" s="129">
        <f>'[1]Rater Equipment List'!M2</f>
        <v>12619</v>
      </c>
      <c r="N2" s="129" t="str">
        <f>'[1]Rater Equipment List'!N2</f>
        <v>Field Piece / iManifold</v>
      </c>
      <c r="O2" s="129" t="str">
        <f>'[1]Rater Equipment List'!O2</f>
        <v>sman3 / 900M</v>
      </c>
      <c r="P2" s="129" t="str">
        <f>'[1]Rater Equipment List'!P2</f>
        <v>12008408 / A10695</v>
      </c>
    </row>
    <row r="3" spans="1:16" x14ac:dyDescent="0.25">
      <c r="A3" s="129" t="str">
        <f>'[1]Rater Equipment List'!A3</f>
        <v>Alex Gonzalez</v>
      </c>
      <c r="B3" s="129" t="str">
        <f>'[1]Rater Equipment List'!B3</f>
        <v>Energy Conservatory</v>
      </c>
      <c r="C3" s="129" t="str">
        <f>'[1]Rater Equipment List'!C3</f>
        <v xml:space="preserve">DG700 </v>
      </c>
      <c r="D3" s="129" t="str">
        <f>'[1]Rater Equipment List'!D3</f>
        <v>4494-7-700</v>
      </c>
      <c r="E3" s="129" t="str">
        <f>'[1]Rater Equipment List'!E3</f>
        <v>Accubalance</v>
      </c>
      <c r="F3" s="129">
        <f>'[1]Rater Equipment List'!F3</f>
        <v>8371</v>
      </c>
      <c r="G3" s="129">
        <f>'[1]Rater Equipment List'!G3</f>
        <v>70936018</v>
      </c>
      <c r="H3" s="129" t="str">
        <f>'[1]Rater Equipment List'!H3</f>
        <v>Energy Conservatory</v>
      </c>
      <c r="I3" s="129" t="str">
        <f>'[1]Rater Equipment List'!I3</f>
        <v>TruFlo</v>
      </c>
      <c r="J3" s="129" t="str">
        <f>'[1]Rater Equipment List'!J3</f>
        <v>20-2587 / 14-2592</v>
      </c>
      <c r="K3" s="129" t="str">
        <f>'[1]Rater Equipment List'!K3</f>
        <v>Energy Conservatory</v>
      </c>
      <c r="L3" s="129" t="str">
        <f>'[1]Rater Equipment List'!L3</f>
        <v>BD3</v>
      </c>
      <c r="M3" s="129">
        <f>'[1]Rater Equipment List'!M3</f>
        <v>12786</v>
      </c>
      <c r="N3" s="129" t="str">
        <f>'[1]Rater Equipment List'!N3</f>
        <v>Field Piece</v>
      </c>
      <c r="O3" s="129" t="str">
        <f>'[1]Rater Equipment List'!O3</f>
        <v>sman2 sman3</v>
      </c>
      <c r="P3" s="129">
        <f>'[1]Rater Equipment List'!P3</f>
        <v>11023855</v>
      </c>
    </row>
    <row r="4" spans="1:16" x14ac:dyDescent="0.25">
      <c r="A4" s="129" t="str">
        <f>'[1]Rater Equipment List'!A4</f>
        <v>Sean O'Day</v>
      </c>
      <c r="B4" s="129" t="str">
        <f>'[1]Rater Equipment List'!B4</f>
        <v>Energy Conservatory</v>
      </c>
      <c r="C4" s="129" t="str">
        <f>'[1]Rater Equipment List'!C4</f>
        <v xml:space="preserve">DG700 </v>
      </c>
      <c r="D4" s="129" t="str">
        <f>'[1]Rater Equipment List'!D4</f>
        <v>6795-4-700</v>
      </c>
      <c r="E4" s="129" t="str">
        <f>'[1]Rater Equipment List'!E4</f>
        <v>KanoMax</v>
      </c>
      <c r="F4" s="129">
        <f>'[1]Rater Equipment List'!F4</f>
        <v>6710</v>
      </c>
      <c r="G4" s="129">
        <f>'[1]Rater Equipment List'!G4</f>
        <v>10130</v>
      </c>
      <c r="H4" s="129" t="str">
        <f>'[1]Rater Equipment List'!H4</f>
        <v>Energy Conservatory</v>
      </c>
      <c r="I4" s="129" t="str">
        <f>'[1]Rater Equipment List'!I4</f>
        <v>TruFlo</v>
      </c>
      <c r="J4" s="129" t="str">
        <f>'[1]Rater Equipment List'!J4</f>
        <v>14-1626 / 20-1643</v>
      </c>
      <c r="K4" s="129" t="str">
        <f>'[1]Rater Equipment List'!K4</f>
        <v>Energy Conservatory</v>
      </c>
      <c r="L4" s="129" t="str">
        <f>'[1]Rater Equipment List'!L4</f>
        <v>BD3</v>
      </c>
      <c r="M4" s="129">
        <f>'[1]Rater Equipment List'!M4</f>
        <v>28038</v>
      </c>
      <c r="N4" s="129" t="str">
        <f>'[1]Rater Equipment List'!N4</f>
        <v>Field Piece / iManifold</v>
      </c>
      <c r="O4" s="129" t="str">
        <f>'[1]Rater Equipment List'!O4</f>
        <v>sman2 / 900M</v>
      </c>
      <c r="P4" s="129" t="str">
        <f>'[1]Rater Equipment List'!P4</f>
        <v>A11913 / 12001856</v>
      </c>
    </row>
    <row r="5" spans="1:16" x14ac:dyDescent="0.25">
      <c r="A5" s="129" t="str">
        <f>'[1]Rater Equipment List'!A5</f>
        <v>Sam Maimone</v>
      </c>
      <c r="B5" s="129" t="str">
        <f>'[1]Rater Equipment List'!B5</f>
        <v>Energy Conservatory</v>
      </c>
      <c r="C5" s="129" t="str">
        <f>'[1]Rater Equipment List'!C5</f>
        <v xml:space="preserve">DG700 </v>
      </c>
      <c r="D5" s="129" t="str">
        <f>'[1]Rater Equipment List'!D5</f>
        <v>4779-5-700</v>
      </c>
      <c r="E5" s="129" t="str">
        <f>'[1]Rater Equipment List'!E5</f>
        <v>KanoMax</v>
      </c>
      <c r="F5" s="129">
        <f>'[1]Rater Equipment List'!F5</f>
        <v>6710</v>
      </c>
      <c r="G5" s="129">
        <f>'[1]Rater Equipment List'!G5</f>
        <v>10257</v>
      </c>
      <c r="H5" s="129" t="str">
        <f>'[1]Rater Equipment List'!H5</f>
        <v>Energy Conservatory</v>
      </c>
      <c r="I5" s="129" t="str">
        <f>'[1]Rater Equipment List'!I5</f>
        <v>TruFlo</v>
      </c>
      <c r="J5" s="129" t="str">
        <f>'[1]Rater Equipment List'!J5</f>
        <v>612-827-1117</v>
      </c>
      <c r="K5" s="129" t="str">
        <f>'[1]Rater Equipment List'!K5</f>
        <v>Energy Conservatory</v>
      </c>
      <c r="L5" s="129" t="str">
        <f>'[1]Rater Equipment List'!L5</f>
        <v>BD3</v>
      </c>
      <c r="M5" s="129">
        <f>'[1]Rater Equipment List'!M5</f>
        <v>27651</v>
      </c>
      <c r="N5" s="129" t="str">
        <f>'[1]Rater Equipment List'!N5</f>
        <v>Field Piece</v>
      </c>
      <c r="O5" s="129" t="str">
        <f>'[1]Rater Equipment List'!O5</f>
        <v>sman3</v>
      </c>
      <c r="P5" s="129">
        <f>'[1]Rater Equipment List'!P5</f>
        <v>11009591</v>
      </c>
    </row>
    <row r="6" spans="1:16" x14ac:dyDescent="0.25">
      <c r="A6" s="129" t="str">
        <f>'[1]Rater Equipment List'!A6</f>
        <v>Jason Samaniego</v>
      </c>
      <c r="B6" s="129" t="str">
        <f>'[1]Rater Equipment List'!B6</f>
        <v>Energy Conservatory</v>
      </c>
      <c r="C6" s="129" t="str">
        <f>'[1]Rater Equipment List'!C6</f>
        <v xml:space="preserve">DG700 </v>
      </c>
      <c r="D6" s="129" t="str">
        <f>'[1]Rater Equipment List'!D6</f>
        <v>415-4-700</v>
      </c>
      <c r="E6" s="129" t="str">
        <f>'[1]Rater Equipment List'!E6</f>
        <v>KanoMax</v>
      </c>
      <c r="F6" s="129">
        <f>'[1]Rater Equipment List'!F6</f>
        <v>6710</v>
      </c>
      <c r="G6" s="129">
        <f>'[1]Rater Equipment List'!G6</f>
        <v>10140</v>
      </c>
      <c r="H6" s="129" t="str">
        <f>'[1]Rater Equipment List'!H6</f>
        <v>Energy Conservatory</v>
      </c>
      <c r="I6" s="129" t="str">
        <f>'[1]Rater Equipment List'!I6</f>
        <v>TruFlo</v>
      </c>
      <c r="J6" s="129" t="str">
        <f>'[1]Rater Equipment List'!J6</f>
        <v>14-2473 / 20-2468</v>
      </c>
      <c r="K6" s="129" t="str">
        <f>'[1]Rater Equipment List'!K6</f>
        <v>Energy Conservatory</v>
      </c>
      <c r="L6" s="129" t="str">
        <f>'[1]Rater Equipment List'!L6</f>
        <v>BD3</v>
      </c>
      <c r="M6" s="129">
        <f>'[1]Rater Equipment List'!M6</f>
        <v>29147</v>
      </c>
      <c r="N6" s="129" t="str">
        <f>'[1]Rater Equipment List'!N6</f>
        <v>Field Piece</v>
      </c>
      <c r="O6" s="129" t="str">
        <f>'[1]Rater Equipment List'!O6</f>
        <v>sman3</v>
      </c>
      <c r="P6" s="129">
        <f>'[1]Rater Equipment List'!P6</f>
        <v>11025972</v>
      </c>
    </row>
    <row r="7" spans="1:16" x14ac:dyDescent="0.25">
      <c r="A7" s="129" t="str">
        <f>'[1]Rater Equipment List'!A7</f>
        <v>Steve Blasé</v>
      </c>
      <c r="B7" s="129" t="str">
        <f>'[1]Rater Equipment List'!B7</f>
        <v>Energy Conservatory</v>
      </c>
      <c r="C7" s="129" t="str">
        <f>'[1]Rater Equipment List'!C7</f>
        <v xml:space="preserve">DG700 </v>
      </c>
      <c r="D7" s="129" t="str">
        <f>'[1]Rater Equipment List'!D7</f>
        <v>39127-7-700</v>
      </c>
      <c r="E7" s="129" t="str">
        <f>'[1]Rater Equipment List'!E7</f>
        <v>KanoMax</v>
      </c>
      <c r="F7" s="129">
        <f>'[1]Rater Equipment List'!F7</f>
        <v>6710</v>
      </c>
      <c r="G7" s="129">
        <f>'[1]Rater Equipment List'!G7</f>
        <v>10128</v>
      </c>
      <c r="H7" s="129" t="str">
        <f>'[1]Rater Equipment List'!H7</f>
        <v>Energy Conservatory</v>
      </c>
      <c r="I7" s="129" t="str">
        <f>'[1]Rater Equipment List'!I7</f>
        <v>TruFlo</v>
      </c>
      <c r="J7" s="129" t="str">
        <f>'[1]Rater Equipment List'!J7</f>
        <v>20-2835 / 14-2806</v>
      </c>
      <c r="K7" s="129" t="str">
        <f>'[1]Rater Equipment List'!K7</f>
        <v>Energy Conservatory</v>
      </c>
      <c r="L7" s="129" t="str">
        <f>'[1]Rater Equipment List'!L7</f>
        <v>BD3</v>
      </c>
      <c r="M7" s="129">
        <f>'[1]Rater Equipment List'!M7</f>
        <v>17747</v>
      </c>
      <c r="N7" s="129" t="str">
        <f>'[1]Rater Equipment List'!N7</f>
        <v>Imperial iManifold</v>
      </c>
      <c r="O7" s="129" t="str">
        <f>'[1]Rater Equipment List'!O7</f>
        <v>900M</v>
      </c>
      <c r="P7" s="129" t="str">
        <f>'[1]Rater Equipment List'!P7</f>
        <v>A10200</v>
      </c>
    </row>
    <row r="8" spans="1:16" x14ac:dyDescent="0.25">
      <c r="A8" s="129" t="str">
        <f>'[1]Rater Equipment List'!A8</f>
        <v>Gabe Lopez</v>
      </c>
      <c r="B8" s="129" t="str">
        <f>'[1]Rater Equipment List'!B8</f>
        <v>Energy Conservatory</v>
      </c>
      <c r="C8" s="129" t="str">
        <f>'[1]Rater Equipment List'!C8</f>
        <v xml:space="preserve">DG700 </v>
      </c>
      <c r="D8" s="129" t="str">
        <f>'[1]Rater Equipment List'!D8</f>
        <v>33207-7-700</v>
      </c>
      <c r="E8" s="129" t="str">
        <f>'[1]Rater Equipment List'!E8</f>
        <v>KanoMax</v>
      </c>
      <c r="F8" s="129">
        <f>'[1]Rater Equipment List'!F8</f>
        <v>6710</v>
      </c>
      <c r="G8" s="129">
        <f>'[1]Rater Equipment List'!G8</f>
        <v>10137</v>
      </c>
      <c r="H8" s="129" t="str">
        <f>'[1]Rater Equipment List'!H8</f>
        <v>Energy Conservatory</v>
      </c>
      <c r="I8" s="129" t="str">
        <f>'[1]Rater Equipment List'!I8</f>
        <v>TruFlo</v>
      </c>
      <c r="J8" s="129" t="str">
        <f>'[1]Rater Equipment List'!J8</f>
        <v>20-2325</v>
      </c>
      <c r="K8" s="129" t="str">
        <f>'[1]Rater Equipment List'!K8</f>
        <v>Energy Conservatory</v>
      </c>
      <c r="L8" s="129" t="str">
        <f>'[1]Rater Equipment List'!L8</f>
        <v>BD3</v>
      </c>
      <c r="M8" s="129">
        <f>'[1]Rater Equipment List'!M8</f>
        <v>27899</v>
      </c>
      <c r="N8" s="129" t="str">
        <f>'[1]Rater Equipment List'!N8</f>
        <v>Imperial iManifold</v>
      </c>
      <c r="O8" s="129" t="str">
        <f>'[1]Rater Equipment List'!O8</f>
        <v>900M</v>
      </c>
      <c r="P8" s="129" t="str">
        <f>'[1]Rater Equipment List'!P8</f>
        <v>A11514</v>
      </c>
    </row>
    <row r="9" spans="1:16" x14ac:dyDescent="0.25">
      <c r="A9" s="129" t="str">
        <f>'[1]Rater Equipment List'!A9</f>
        <v>Graham Ralfe</v>
      </c>
      <c r="B9" s="129" t="str">
        <f>'[1]Rater Equipment List'!B9</f>
        <v>Energy Conservatory</v>
      </c>
      <c r="C9" s="129" t="str">
        <f>'[1]Rater Equipment List'!C9</f>
        <v xml:space="preserve">DG700 </v>
      </c>
      <c r="D9" s="129" t="str">
        <f>'[1]Rater Equipment List'!D9</f>
        <v>33581-7-700</v>
      </c>
      <c r="E9" s="129" t="str">
        <f>'[1]Rater Equipment List'!E9</f>
        <v>Shortridge</v>
      </c>
      <c r="F9" s="129" t="str">
        <f>'[1]Rater Equipment List'!F9</f>
        <v>CFM-88</v>
      </c>
      <c r="G9" s="129" t="str">
        <f>'[1]Rater Equipment List'!G9</f>
        <v>M97070</v>
      </c>
      <c r="H9" s="129" t="str">
        <f>'[1]Rater Equipment List'!H9</f>
        <v>Energy Conservatory</v>
      </c>
      <c r="I9" s="129" t="str">
        <f>'[1]Rater Equipment List'!I9</f>
        <v>TruFlo</v>
      </c>
      <c r="J9" s="129" t="str">
        <f>'[1]Rater Equipment List'!J9</f>
        <v>20-2345</v>
      </c>
      <c r="K9" s="129" t="str">
        <f>'[1]Rater Equipment List'!K9</f>
        <v>Energy Conservatory</v>
      </c>
      <c r="L9" s="129" t="str">
        <f>'[1]Rater Equipment List'!L9</f>
        <v>BD3</v>
      </c>
      <c r="M9" s="129">
        <f>'[1]Rater Equipment List'!M9</f>
        <v>28091</v>
      </c>
      <c r="N9" s="129" t="str">
        <f>'[1]Rater Equipment List'!N9</f>
        <v>Fieldpiece</v>
      </c>
      <c r="O9" s="129" t="str">
        <f>'[1]Rater Equipment List'!O9</f>
        <v>sman2 / sman3</v>
      </c>
      <c r="P9" s="129">
        <f>'[1]Rater Equipment List'!P9</f>
        <v>11023855</v>
      </c>
    </row>
    <row r="10" spans="1:16" x14ac:dyDescent="0.25">
      <c r="A10" s="129" t="str">
        <f>'[1]Rater Equipment List'!A10</f>
        <v>Harry Williams</v>
      </c>
      <c r="B10" s="129" t="str">
        <f>'[1]Rater Equipment List'!B10</f>
        <v>Energy Conservatory</v>
      </c>
      <c r="C10" s="129" t="str">
        <f>'[1]Rater Equipment List'!C10</f>
        <v xml:space="preserve">DG700 </v>
      </c>
      <c r="D10" s="129" t="str">
        <f>'[1]Rater Equipment List'!D10</f>
        <v>26793-7-700</v>
      </c>
      <c r="E10" s="129" t="str">
        <f>'[1]Rater Equipment List'!E10</f>
        <v>KanoMax</v>
      </c>
      <c r="F10" s="129">
        <f>'[1]Rater Equipment List'!F10</f>
        <v>6710</v>
      </c>
      <c r="G10" s="129">
        <f>'[1]Rater Equipment List'!G10</f>
        <v>10127</v>
      </c>
      <c r="H10" s="129" t="str">
        <f>'[1]Rater Equipment List'!H10</f>
        <v>Energy Conservatory</v>
      </c>
      <c r="I10" s="129" t="str">
        <f>'[1]Rater Equipment List'!I10</f>
        <v>TruFlo</v>
      </c>
      <c r="J10" s="129" t="str">
        <f>'[1]Rater Equipment List'!J10</f>
        <v>20-2407</v>
      </c>
      <c r="K10" s="129" t="str">
        <f>'[1]Rater Equipment List'!K10</f>
        <v>Energy Conservatory</v>
      </c>
      <c r="L10" s="129" t="str">
        <f>'[1]Rater Equipment List'!L10</f>
        <v>BD3</v>
      </c>
      <c r="M10" s="129">
        <f>'[1]Rater Equipment List'!M10</f>
        <v>15382</v>
      </c>
      <c r="N10" s="129" t="str">
        <f>'[1]Rater Equipment List'!N10</f>
        <v>Imperial iManifold</v>
      </c>
      <c r="O10" s="129" t="str">
        <f>'[1]Rater Equipment List'!O10</f>
        <v>900M</v>
      </c>
      <c r="P10" s="129" t="str">
        <f>'[1]Rater Equipment List'!P10</f>
        <v>A10261</v>
      </c>
    </row>
    <row r="11" spans="1:16" x14ac:dyDescent="0.25">
      <c r="A11" s="129" t="str">
        <f>'[1]Rater Equipment List'!A11</f>
        <v>Mark Souza</v>
      </c>
      <c r="B11" s="129" t="str">
        <f>'[1]Rater Equipment List'!B11</f>
        <v>Energy Conservatory</v>
      </c>
      <c r="C11" s="129" t="str">
        <f>'[1]Rater Equipment List'!C11</f>
        <v xml:space="preserve">DG700 </v>
      </c>
      <c r="D11" s="129" t="str">
        <f>'[1]Rater Equipment List'!D11</f>
        <v>38496-7-700</v>
      </c>
      <c r="E11" s="129" t="str">
        <f>'[1]Rater Equipment List'!E11</f>
        <v>KanoMax</v>
      </c>
      <c r="F11" s="129">
        <f>'[1]Rater Equipment List'!F11</f>
        <v>6710</v>
      </c>
      <c r="G11" s="129">
        <f>'[1]Rater Equipment List'!G11</f>
        <v>10141</v>
      </c>
      <c r="H11" s="129" t="str">
        <f>'[1]Rater Equipment List'!H11</f>
        <v>Energy Conservatory</v>
      </c>
      <c r="I11" s="129" t="str">
        <f>'[1]Rater Equipment List'!I11</f>
        <v>TruFlo</v>
      </c>
      <c r="J11" s="129" t="str">
        <f>'[1]Rater Equipment List'!J11</f>
        <v>14-2822 / 20-2855</v>
      </c>
      <c r="K11" s="129" t="str">
        <f>'[1]Rater Equipment List'!K11</f>
        <v>Energy Conservatory</v>
      </c>
      <c r="L11" s="129" t="str">
        <f>'[1]Rater Equipment List'!L11</f>
        <v>BD3</v>
      </c>
      <c r="M11" s="129">
        <f>'[1]Rater Equipment List'!M11</f>
        <v>9915</v>
      </c>
      <c r="N11" s="129" t="str">
        <f>'[1]Rater Equipment List'!N11</f>
        <v>Field Piece</v>
      </c>
      <c r="O11" s="129" t="str">
        <f>'[1]Rater Equipment List'!O11</f>
        <v>sman2</v>
      </c>
      <c r="P11" s="129">
        <f>'[1]Rater Equipment List'!P11</f>
        <v>12000114</v>
      </c>
    </row>
    <row r="12" spans="1:16" x14ac:dyDescent="0.25">
      <c r="A12" s="129" t="str">
        <f>'[1]Rater Equipment List'!A12</f>
        <v>Raymond Espudo</v>
      </c>
      <c r="B12" s="129" t="str">
        <f>'[1]Rater Equipment List'!B12</f>
        <v>RetroTec</v>
      </c>
      <c r="C12" s="129" t="str">
        <f>'[1]Rater Equipment List'!C12</f>
        <v>DM-2</v>
      </c>
      <c r="D12" s="129">
        <f>'[1]Rater Equipment List'!D12</f>
        <v>208314</v>
      </c>
      <c r="E12" s="129" t="str">
        <f>'[1]Rater Equipment List'!E12</f>
        <v>KanoMax</v>
      </c>
      <c r="F12" s="129">
        <f>'[1]Rater Equipment List'!F12</f>
        <v>6710</v>
      </c>
      <c r="G12" s="129">
        <f>'[1]Rater Equipment List'!G12</f>
        <v>10273</v>
      </c>
      <c r="H12" s="129" t="str">
        <f>'[1]Rater Equipment List'!H12</f>
        <v>Energy Conservatory</v>
      </c>
      <c r="I12" s="129" t="str">
        <f>'[1]Rater Equipment List'!I12</f>
        <v>TruFlo</v>
      </c>
      <c r="J12" s="129" t="str">
        <f>'[1]Rater Equipment List'!J12</f>
        <v>1706-5-700</v>
      </c>
      <c r="K12" s="129" t="str">
        <f>'[1]Rater Equipment List'!K12</f>
        <v>RetroTec</v>
      </c>
      <c r="L12" s="129" t="str">
        <f>'[1]Rater Equipment List'!L12</f>
        <v>1000F</v>
      </c>
      <c r="M12" s="129">
        <f>'[1]Rater Equipment List'!M12</f>
        <v>208314</v>
      </c>
      <c r="N12" s="129" t="str">
        <f>'[1]Rater Equipment List'!N12</f>
        <v>Field Piece</v>
      </c>
      <c r="O12" s="129" t="str">
        <f>'[1]Rater Equipment List'!O12</f>
        <v>16AIFCLR</v>
      </c>
      <c r="P12" s="129">
        <f>'[1]Rater Equipment List'!P12</f>
        <v>12000408</v>
      </c>
    </row>
    <row r="13" spans="1:16" x14ac:dyDescent="0.25">
      <c r="A13" s="129" t="str">
        <f>'[1]Rater Equipment List'!A13</f>
        <v>Joe Silva</v>
      </c>
      <c r="B13" s="129" t="str">
        <f>'[1]Rater Equipment List'!B13</f>
        <v>Energy Conservatory</v>
      </c>
      <c r="C13" s="129" t="str">
        <f>'[1]Rater Equipment List'!C13</f>
        <v xml:space="preserve">DG700 </v>
      </c>
      <c r="D13" s="129" t="str">
        <f>'[1]Rater Equipment List'!D13</f>
        <v>7930-5-700</v>
      </c>
      <c r="E13" s="129" t="str">
        <f>'[1]Rater Equipment List'!E13</f>
        <v>Alnor</v>
      </c>
      <c r="F13" s="129" t="str">
        <f>'[1]Rater Equipment List'!F13</f>
        <v>EBT721</v>
      </c>
      <c r="G13" s="129">
        <f>'[1]Rater Equipment List'!G13</f>
        <v>91025001</v>
      </c>
      <c r="H13" s="129" t="str">
        <f>'[1]Rater Equipment List'!H13</f>
        <v>Energy Conservatory</v>
      </c>
      <c r="I13" s="129" t="str">
        <f>'[1]Rater Equipment List'!I13</f>
        <v>TruFlo</v>
      </c>
      <c r="J13" s="129" t="str">
        <f>'[1]Rater Equipment List'!J13</f>
        <v>20-2612</v>
      </c>
      <c r="K13" s="129" t="str">
        <f>'[1]Rater Equipment List'!K13</f>
        <v>Energy Conservatory</v>
      </c>
      <c r="L13" s="129" t="str">
        <f>'[1]Rater Equipment List'!L13</f>
        <v>BD3</v>
      </c>
      <c r="M13" s="129">
        <f>'[1]Rater Equipment List'!M13</f>
        <v>29148</v>
      </c>
      <c r="N13" s="129" t="str">
        <f>'[1]Rater Equipment List'!N13</f>
        <v>Imperial iManifold</v>
      </c>
      <c r="O13" s="129" t="str">
        <f>'[1]Rater Equipment List'!O13</f>
        <v>900M</v>
      </c>
      <c r="P13" s="129" t="str">
        <f>'[1]Rater Equipment List'!P13</f>
        <v>A11155</v>
      </c>
    </row>
    <row r="14" spans="1:16" x14ac:dyDescent="0.25">
      <c r="A14" s="129" t="str">
        <f>'[1]Rater Equipment List'!A14</f>
        <v>Ken Waggoner</v>
      </c>
      <c r="B14" s="129" t="str">
        <f>'[1]Rater Equipment List'!B14</f>
        <v>Energy Conservatory</v>
      </c>
      <c r="C14" s="129" t="str">
        <f>'[1]Rater Equipment List'!C14</f>
        <v xml:space="preserve">DG700 </v>
      </c>
      <c r="D14" s="129" t="str">
        <f>'[1]Rater Equipment List'!D14</f>
        <v>415-4-700</v>
      </c>
      <c r="E14" s="129" t="str">
        <f>'[1]Rater Equipment List'!E14</f>
        <v>KanoMax</v>
      </c>
      <c r="F14" s="129">
        <f>'[1]Rater Equipment List'!F14</f>
        <v>6710</v>
      </c>
      <c r="G14" s="129">
        <f>'[1]Rater Equipment List'!G14</f>
        <v>10140</v>
      </c>
      <c r="H14" s="129" t="str">
        <f>'[1]Rater Equipment List'!H14</f>
        <v>Energy Conservatory</v>
      </c>
      <c r="I14" s="129" t="str">
        <f>'[1]Rater Equipment List'!I14</f>
        <v>TruFlo</v>
      </c>
      <c r="J14" s="129" t="str">
        <f>'[1]Rater Equipment List'!J14</f>
        <v>14-2473 / 20-2468</v>
      </c>
      <c r="K14" s="129" t="str">
        <f>'[1]Rater Equipment List'!K14</f>
        <v>Energy Conservatory</v>
      </c>
      <c r="L14" s="129" t="str">
        <f>'[1]Rater Equipment List'!L14</f>
        <v>BD3</v>
      </c>
      <c r="M14" s="129">
        <f>'[1]Rater Equipment List'!M14</f>
        <v>29147</v>
      </c>
      <c r="N14" s="129" t="str">
        <f>'[1]Rater Equipment List'!N14</f>
        <v>Field Piece</v>
      </c>
      <c r="O14" s="129" t="str">
        <f>'[1]Rater Equipment List'!O14</f>
        <v>sman3</v>
      </c>
      <c r="P14" s="129">
        <f>'[1]Rater Equipment List'!P14</f>
        <v>11025972</v>
      </c>
    </row>
    <row r="15" spans="1:16" x14ac:dyDescent="0.25">
      <c r="A15" s="129" t="str">
        <f>'[1]Rater Equipment List'!A15</f>
        <v>William Barrett</v>
      </c>
      <c r="B15" s="129" t="str">
        <f>'[1]Rater Equipment List'!B15</f>
        <v>Energy Conservatory</v>
      </c>
      <c r="C15" s="129" t="str">
        <f>'[1]Rater Equipment List'!C15</f>
        <v xml:space="preserve">DG700 </v>
      </c>
      <c r="D15" s="129" t="str">
        <f>'[1]Rater Equipment List'!D15</f>
        <v>32043-7-700</v>
      </c>
      <c r="E15" s="129" t="str">
        <f>'[1]Rater Equipment List'!E15</f>
        <v>KanoMax</v>
      </c>
      <c r="F15" s="129">
        <f>'[1]Rater Equipment List'!F15</f>
        <v>6710</v>
      </c>
      <c r="G15" s="129">
        <f>'[1]Rater Equipment List'!G15</f>
        <v>10261</v>
      </c>
      <c r="H15" s="129" t="str">
        <f>'[1]Rater Equipment List'!H15</f>
        <v>Energy Conservatory</v>
      </c>
      <c r="I15" s="129" t="str">
        <f>'[1]Rater Equipment List'!I15</f>
        <v>TruFlo</v>
      </c>
      <c r="J15" s="129" t="str">
        <f>'[1]Rater Equipment List'!J15</f>
        <v>14-1866 / 20-1873</v>
      </c>
      <c r="K15" s="129" t="str">
        <f>'[1]Rater Equipment List'!K15</f>
        <v>Energy Conservatory</v>
      </c>
      <c r="L15" s="129" t="str">
        <f>'[1]Rater Equipment List'!L15</f>
        <v>BD3</v>
      </c>
      <c r="M15" s="129">
        <f>'[1]Rater Equipment List'!M15</f>
        <v>10689</v>
      </c>
      <c r="N15" s="129" t="str">
        <f>'[1]Rater Equipment List'!N15</f>
        <v>Field Piece</v>
      </c>
      <c r="O15" s="129" t="str">
        <f>'[1]Rater Equipment List'!O15</f>
        <v>REQ: 04-21</v>
      </c>
      <c r="P15" s="129" t="str">
        <f>'[1]Rater Equipment List'!P15</f>
        <v>REQ: 04-21</v>
      </c>
    </row>
    <row r="16" spans="1:16" x14ac:dyDescent="0.25">
      <c r="A16" s="129">
        <f>'[1]Rater Equipment List'!A16</f>
        <v>0</v>
      </c>
      <c r="B16" s="129">
        <f>'[1]Rater Equipment List'!B16</f>
        <v>0</v>
      </c>
      <c r="C16" s="129">
        <f>'[1]Rater Equipment List'!C16</f>
        <v>0</v>
      </c>
      <c r="D16" s="129">
        <f>'[1]Rater Equipment List'!D16</f>
        <v>0</v>
      </c>
      <c r="E16" s="129">
        <f>'[1]Rater Equipment List'!E16</f>
        <v>0</v>
      </c>
      <c r="F16" s="129">
        <f>'[1]Rater Equipment List'!F16</f>
        <v>0</v>
      </c>
      <c r="G16" s="129">
        <f>'[1]Rater Equipment List'!G16</f>
        <v>0</v>
      </c>
      <c r="H16" s="129">
        <f>'[1]Rater Equipment List'!H16</f>
        <v>0</v>
      </c>
      <c r="I16" s="129">
        <f>'[1]Rater Equipment List'!I16</f>
        <v>0</v>
      </c>
      <c r="J16" s="129">
        <f>'[1]Rater Equipment List'!J16</f>
        <v>0</v>
      </c>
      <c r="K16" s="129">
        <f>'[1]Rater Equipment List'!K16</f>
        <v>0</v>
      </c>
      <c r="L16" s="129">
        <f>'[1]Rater Equipment List'!L16</f>
        <v>0</v>
      </c>
      <c r="M16" s="129">
        <f>'[1]Rater Equipment List'!M16</f>
        <v>0</v>
      </c>
      <c r="N16" s="129">
        <f>'[1]Rater Equipment List'!N16</f>
        <v>0</v>
      </c>
      <c r="O16" s="129">
        <f>'[1]Rater Equipment List'!O16</f>
        <v>0</v>
      </c>
      <c r="P16" s="129">
        <f>'[1]Rater Equipment List'!P16</f>
        <v>0</v>
      </c>
    </row>
    <row r="17" spans="1:16" x14ac:dyDescent="0.25">
      <c r="A17" s="129">
        <f>'[1]Rater Equipment List'!A17</f>
        <v>0</v>
      </c>
      <c r="B17" s="129">
        <f>'[1]Rater Equipment List'!B17</f>
        <v>0</v>
      </c>
      <c r="C17" s="129">
        <f>'[1]Rater Equipment List'!C17</f>
        <v>0</v>
      </c>
      <c r="D17" s="129">
        <f>'[1]Rater Equipment List'!D17</f>
        <v>0</v>
      </c>
      <c r="E17" s="129">
        <f>'[1]Rater Equipment List'!E17</f>
        <v>0</v>
      </c>
      <c r="F17" s="129">
        <f>'[1]Rater Equipment List'!F17</f>
        <v>0</v>
      </c>
      <c r="G17" s="129">
        <f>'[1]Rater Equipment List'!G17</f>
        <v>0</v>
      </c>
      <c r="H17" s="129">
        <f>'[1]Rater Equipment List'!H17</f>
        <v>0</v>
      </c>
      <c r="I17" s="129">
        <f>'[1]Rater Equipment List'!I17</f>
        <v>0</v>
      </c>
      <c r="J17" s="129">
        <f>'[1]Rater Equipment List'!J17</f>
        <v>0</v>
      </c>
      <c r="K17" s="129">
        <f>'[1]Rater Equipment List'!K17</f>
        <v>0</v>
      </c>
      <c r="L17" s="129">
        <f>'[1]Rater Equipment List'!L17</f>
        <v>0</v>
      </c>
      <c r="M17" s="129">
        <f>'[1]Rater Equipment List'!M17</f>
        <v>0</v>
      </c>
      <c r="N17" s="129">
        <f>'[1]Rater Equipment List'!N17</f>
        <v>0</v>
      </c>
      <c r="O17" s="129">
        <f>'[1]Rater Equipment List'!O17</f>
        <v>0</v>
      </c>
      <c r="P17" s="129">
        <f>'[1]Rater Equipment List'!P17</f>
        <v>0</v>
      </c>
    </row>
    <row r="18" spans="1:16" x14ac:dyDescent="0.25">
      <c r="A18" s="129">
        <f>'[1]Rater Equipment List'!A18</f>
        <v>0</v>
      </c>
      <c r="B18" s="129">
        <f>'[1]Rater Equipment List'!B18</f>
        <v>0</v>
      </c>
      <c r="C18" s="129">
        <f>'[1]Rater Equipment List'!C18</f>
        <v>0</v>
      </c>
      <c r="D18" s="129">
        <f>'[1]Rater Equipment List'!D18</f>
        <v>0</v>
      </c>
      <c r="E18" s="129">
        <f>'[1]Rater Equipment List'!E18</f>
        <v>0</v>
      </c>
      <c r="F18" s="129">
        <f>'[1]Rater Equipment List'!F18</f>
        <v>0</v>
      </c>
      <c r="G18" s="129">
        <f>'[1]Rater Equipment List'!G18</f>
        <v>0</v>
      </c>
      <c r="H18" s="129">
        <f>'[1]Rater Equipment List'!H18</f>
        <v>0</v>
      </c>
      <c r="I18" s="129">
        <f>'[1]Rater Equipment List'!I18</f>
        <v>0</v>
      </c>
      <c r="J18" s="129">
        <f>'[1]Rater Equipment List'!J18</f>
        <v>0</v>
      </c>
      <c r="K18" s="129">
        <f>'[1]Rater Equipment List'!K18</f>
        <v>0</v>
      </c>
      <c r="L18" s="129">
        <f>'[1]Rater Equipment List'!L18</f>
        <v>0</v>
      </c>
      <c r="M18" s="129">
        <f>'[1]Rater Equipment List'!M18</f>
        <v>0</v>
      </c>
      <c r="N18" s="129">
        <f>'[1]Rater Equipment List'!N18</f>
        <v>0</v>
      </c>
      <c r="O18" s="129">
        <f>'[1]Rater Equipment List'!O18</f>
        <v>0</v>
      </c>
      <c r="P18" s="129">
        <f>'[1]Rater Equipment List'!P18</f>
        <v>0</v>
      </c>
    </row>
    <row r="19" spans="1:16" x14ac:dyDescent="0.25">
      <c r="A19" s="129">
        <f>'[1]Rater Equipment List'!A19</f>
        <v>0</v>
      </c>
      <c r="B19" s="129">
        <f>'[1]Rater Equipment List'!B19</f>
        <v>0</v>
      </c>
      <c r="C19" s="129">
        <f>'[1]Rater Equipment List'!C19</f>
        <v>0</v>
      </c>
      <c r="D19" s="129">
        <f>'[1]Rater Equipment List'!D19</f>
        <v>0</v>
      </c>
      <c r="E19" s="129">
        <f>'[1]Rater Equipment List'!E19</f>
        <v>0</v>
      </c>
      <c r="F19" s="129">
        <f>'[1]Rater Equipment List'!F19</f>
        <v>0</v>
      </c>
      <c r="G19" s="129">
        <f>'[1]Rater Equipment List'!G19</f>
        <v>0</v>
      </c>
      <c r="H19" s="129">
        <f>'[1]Rater Equipment List'!H19</f>
        <v>0</v>
      </c>
      <c r="I19" s="129">
        <f>'[1]Rater Equipment List'!I19</f>
        <v>0</v>
      </c>
      <c r="J19" s="129">
        <f>'[1]Rater Equipment List'!J19</f>
        <v>0</v>
      </c>
      <c r="K19" s="129">
        <f>'[1]Rater Equipment List'!K19</f>
        <v>0</v>
      </c>
      <c r="L19" s="129">
        <f>'[1]Rater Equipment List'!L19</f>
        <v>0</v>
      </c>
      <c r="M19" s="129">
        <f>'[1]Rater Equipment List'!M19</f>
        <v>0</v>
      </c>
      <c r="N19" s="129">
        <f>'[1]Rater Equipment List'!N19</f>
        <v>0</v>
      </c>
      <c r="O19" s="129">
        <f>'[1]Rater Equipment List'!O19</f>
        <v>0</v>
      </c>
      <c r="P19" s="129">
        <f>'[1]Rater Equipment List'!P19</f>
        <v>0</v>
      </c>
    </row>
    <row r="20" spans="1:16" x14ac:dyDescent="0.25">
      <c r="A20" s="129">
        <f>'[1]Rater Equipment List'!A20</f>
        <v>0</v>
      </c>
      <c r="B20" s="129">
        <f>'[1]Rater Equipment List'!B20</f>
        <v>0</v>
      </c>
      <c r="C20" s="129">
        <f>'[1]Rater Equipment List'!C20</f>
        <v>0</v>
      </c>
      <c r="D20" s="129">
        <f>'[1]Rater Equipment List'!D20</f>
        <v>0</v>
      </c>
      <c r="E20" s="129">
        <f>'[1]Rater Equipment List'!E20</f>
        <v>0</v>
      </c>
      <c r="F20" s="129">
        <f>'[1]Rater Equipment List'!F20</f>
        <v>0</v>
      </c>
      <c r="G20" s="129">
        <f>'[1]Rater Equipment List'!G20</f>
        <v>0</v>
      </c>
      <c r="H20" s="129">
        <f>'[1]Rater Equipment List'!H20</f>
        <v>0</v>
      </c>
      <c r="I20" s="129">
        <f>'[1]Rater Equipment List'!I20</f>
        <v>0</v>
      </c>
      <c r="J20" s="129">
        <f>'[1]Rater Equipment List'!J20</f>
        <v>0</v>
      </c>
      <c r="K20" s="129">
        <f>'[1]Rater Equipment List'!K20</f>
        <v>0</v>
      </c>
      <c r="L20" s="129">
        <f>'[1]Rater Equipment List'!L20</f>
        <v>0</v>
      </c>
      <c r="M20" s="129">
        <f>'[1]Rater Equipment List'!M20</f>
        <v>0</v>
      </c>
      <c r="N20" s="129">
        <f>'[1]Rater Equipment List'!N20</f>
        <v>0</v>
      </c>
      <c r="O20" s="129">
        <f>'[1]Rater Equipment List'!O20</f>
        <v>0</v>
      </c>
      <c r="P20" s="129">
        <f>'[1]Rater Equipment List'!P20</f>
        <v>0</v>
      </c>
    </row>
    <row r="21" spans="1:16" x14ac:dyDescent="0.25">
      <c r="A21" s="129">
        <f>'[1]Rater Equipment List'!A21</f>
        <v>0</v>
      </c>
      <c r="B21" s="129">
        <f>'[1]Rater Equipment List'!B21</f>
        <v>0</v>
      </c>
      <c r="C21" s="129">
        <f>'[1]Rater Equipment List'!C21</f>
        <v>0</v>
      </c>
      <c r="D21" s="129">
        <f>'[1]Rater Equipment List'!D21</f>
        <v>0</v>
      </c>
      <c r="E21" s="129">
        <f>'[1]Rater Equipment List'!E21</f>
        <v>0</v>
      </c>
      <c r="F21" s="129">
        <f>'[1]Rater Equipment List'!F21</f>
        <v>0</v>
      </c>
      <c r="G21" s="129">
        <f>'[1]Rater Equipment List'!G21</f>
        <v>0</v>
      </c>
      <c r="H21" s="129">
        <f>'[1]Rater Equipment List'!H21</f>
        <v>0</v>
      </c>
      <c r="I21" s="129">
        <f>'[1]Rater Equipment List'!I21</f>
        <v>0</v>
      </c>
      <c r="J21" s="129">
        <f>'[1]Rater Equipment List'!J21</f>
        <v>0</v>
      </c>
      <c r="K21" s="129">
        <f>'[1]Rater Equipment List'!K21</f>
        <v>0</v>
      </c>
      <c r="L21" s="129">
        <f>'[1]Rater Equipment List'!L21</f>
        <v>0</v>
      </c>
      <c r="M21" s="129">
        <f>'[1]Rater Equipment List'!M21</f>
        <v>0</v>
      </c>
      <c r="N21" s="129">
        <f>'[1]Rater Equipment List'!N21</f>
        <v>0</v>
      </c>
      <c r="O21" s="129">
        <f>'[1]Rater Equipment List'!O21</f>
        <v>0</v>
      </c>
      <c r="P21" s="129">
        <f>'[1]Rater Equipment List'!P21</f>
        <v>0</v>
      </c>
    </row>
    <row r="25" spans="1:16" x14ac:dyDescent="0.25">
      <c r="B25" s="75" t="s">
        <v>241</v>
      </c>
    </row>
    <row r="26" spans="1:16" x14ac:dyDescent="0.25">
      <c r="B26" s="76" t="s">
        <v>242</v>
      </c>
    </row>
  </sheetData>
  <hyperlinks>
    <hyperlink ref="B26" r:id="rId1"/>
  </hyperlinks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Project Name</vt:lpstr>
      <vt:lpstr>Summary</vt:lpstr>
      <vt:lpstr>Contacts</vt:lpstr>
      <vt:lpstr>Solar</vt:lpstr>
      <vt:lpstr>Legend</vt:lpstr>
      <vt:lpstr>Rater Equipment List</vt:lpstr>
      <vt:lpstr>Completions</vt:lpstr>
      <vt:lpstr>TabStats</vt:lpstr>
    </vt:vector>
  </TitlesOfParts>
  <Company>your company name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lastModifiedBy>Jeremiah Ellis</cp:lastModifiedBy>
  <cp:lastPrinted>2014-12-12T01:21:01Z</cp:lastPrinted>
  <dcterms:created xsi:type="dcterms:W3CDTF">2010-08-17T17:12:16Z</dcterms:created>
  <dcterms:modified xsi:type="dcterms:W3CDTF">2015-09-08T17:32:03Z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6c2ce3b8-f688-46dd-95da-60ed30ea20eb</vt:lpwstr>
  </property>
</Properties>
</file>